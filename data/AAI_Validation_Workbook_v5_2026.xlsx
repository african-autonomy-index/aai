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Guide" sheetId="1" state="visible" r:id="rId1"/>
    <sheet xmlns:r="http://schemas.openxmlformats.org/officeDocument/2006/relationships" name="📊 Baseline Scores" sheetId="2" state="visible" r:id="rId2"/>
    <sheet xmlns:r="http://schemas.openxmlformats.org/officeDocument/2006/relationships" name="⚖️ Weight Scenarios" sheetId="3" state="visible" r:id="rId3"/>
    <sheet xmlns:r="http://schemas.openxmlformats.org/officeDocument/2006/relationships" name="🔄 Missing-Data Rules" sheetId="4" state="visible" r:id="rId4"/>
    <sheet xmlns:r="http://schemas.openxmlformats.org/officeDocument/2006/relationships" name="🎯 Cutoff Sensitivity" sheetId="5" state="visible" r:id="rId5"/>
    <sheet xmlns:r="http://schemas.openxmlformats.org/officeDocument/2006/relationships" name="🔥 Swing Summary" sheetId="6" state="visible" r:id="rId6"/>
    <sheet xmlns:r="http://schemas.openxmlformats.org/officeDocument/2006/relationships" name="📝 Methodology Notes" sheetId="7" state="visible" r:id="rId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A432D"/>
      <sz val="11"/>
    </font>
    <font>
      <b val="1"/>
      <color rgb="00000000"/>
      <sz val="9"/>
    </font>
    <font>
      <color rgb="00000000"/>
      <sz val="9"/>
    </font>
    <font>
      <b val="1"/>
      <color rgb="00D4A017"/>
      <sz val="9"/>
    </font>
    <font>
      <b val="1"/>
      <color rgb="00FFFFFF"/>
      <sz val="9"/>
    </font>
    <font>
      <b val="1"/>
      <color rgb="008B261D"/>
      <sz val="9"/>
    </font>
    <font>
      <b val="1"/>
      <color rgb="005D4037"/>
      <sz val="9"/>
    </font>
    <font>
      <b val="1"/>
      <color rgb="001A432D"/>
      <sz val="10"/>
    </font>
    <font>
      <color rgb="0028251D"/>
      <sz val="9"/>
    </font>
    <font>
      <b val="1"/>
      <sz val="16"/>
    </font>
    <font>
      <b val="1"/>
      <sz val="12"/>
    </font>
    <font>
      <b val="1"/>
      <color rgb="00FFFFFF"/>
    </font>
    <font>
      <b val="1"/>
    </font>
  </fonts>
  <fills count="16">
    <fill>
      <patternFill/>
    </fill>
    <fill>
      <patternFill patternType="gray125"/>
    </fill>
    <fill>
      <patternFill patternType="solid">
        <fgColor rgb="001A432D"/>
      </patternFill>
    </fill>
    <fill>
      <patternFill patternType="solid">
        <fgColor rgb="00FFFFFF"/>
      </patternFill>
    </fill>
    <fill>
      <patternFill patternType="solid">
        <fgColor rgb="00E8F5E9"/>
      </patternFill>
    </fill>
    <fill>
      <patternFill patternType="solid">
        <fgColor rgb="00F0F4F0"/>
      </patternFill>
    </fill>
    <fill>
      <patternFill patternType="solid">
        <fgColor rgb="002E7D52"/>
      </patternFill>
    </fill>
    <fill>
      <patternFill patternType="solid">
        <fgColor rgb="007B6E91"/>
      </patternFill>
    </fill>
    <fill>
      <patternFill patternType="solid">
        <fgColor rgb="00FFF9C4"/>
      </patternFill>
    </fill>
    <fill>
      <patternFill patternType="solid">
        <fgColor rgb="005B8E7D"/>
      </patternFill>
    </fill>
    <fill>
      <patternFill patternType="solid">
        <fgColor rgb="00D4A017"/>
      </patternFill>
    </fill>
    <fill>
      <patternFill patternType="solid">
        <fgColor rgb="00FFCDD2"/>
      </patternFill>
    </fill>
    <fill>
      <patternFill patternType="solid">
        <fgColor rgb="008B261D"/>
      </patternFill>
    </fill>
    <fill>
      <patternFill patternType="solid">
        <fgColor rgb="00FF8A80"/>
      </patternFill>
    </fill>
    <fill>
      <patternFill patternType="solid">
        <fgColor rgb="001A432D"/>
        <bgColor rgb="001A432D"/>
      </patternFill>
    </fill>
    <fill>
      <patternFill patternType="solid">
        <fgColor rgb="00FFF9E6"/>
        <bgColor rgb="00FFF9E6"/>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13" borderId="1" applyAlignment="1" pivotButton="0" quotePrefix="0" xfId="0">
      <alignment horizontal="center" vertical="center" wrapText="1"/>
    </xf>
    <xf numFmtId="0" fontId="8" fillId="0" borderId="0" applyAlignment="1" pivotButton="0" quotePrefix="0" xfId="0">
      <alignment horizontal="left" vertical="center" wrapText="1"/>
    </xf>
    <xf numFmtId="0" fontId="3"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pivotButton="0" quotePrefix="0" xfId="0"/>
    <xf numFmtId="0" fontId="11" fillId="0" borderId="0" pivotButton="0" quotePrefix="0" xfId="0"/>
    <xf numFmtId="0" fontId="0" fillId="0" borderId="0" applyAlignment="1" pivotButton="0" quotePrefix="0" xfId="0">
      <alignment wrapText="1"/>
    </xf>
    <xf numFmtId="0" fontId="3" fillId="0" borderId="0" applyAlignment="1" pivotButton="0" quotePrefix="0" xfId="0">
      <alignment wrapText="1"/>
    </xf>
    <xf numFmtId="0" fontId="12" fillId="14" borderId="0" applyAlignment="1" pivotButton="0" quotePrefix="0" xfId="0">
      <alignment horizontal="center" vertical="center" wrapText="1"/>
    </xf>
    <xf numFmtId="0" fontId="0" fillId="15" borderId="0" pivotButton="0" quotePrefix="0" xfId="0"/>
    <xf numFmtId="0" fontId="13" fillId="0" borderId="0" pivotButton="0" quotePrefix="0" xfId="0"/>
    <xf numFmtId="0" fontId="9"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28" customWidth="1" min="1" max="1"/>
    <col width="80" customWidth="1" min="2" max="2"/>
  </cols>
  <sheetData>
    <row r="1">
      <c r="A1" s="22" t="inlineStr">
        <is>
          <t>AAI VALIDATION WORKBOOK v5</t>
        </is>
      </c>
    </row>
    <row r="2">
      <c r="A2" t="inlineStr">
        <is>
          <t>Heritage Builders | African Autonomy Index | First Iteration 2026</t>
        </is>
      </c>
    </row>
    <row r="3"/>
    <row r="4">
      <c r="A4" s="2" t="inlineStr">
        <is>
          <t>VERSION</t>
        </is>
      </c>
      <c r="B4" s="3" t="inlineStr">
        <is>
          <t>v5 — Axis Codification (X=Econ, Y=Pol) + SADR/55-State Expansion + Niger Score Correction (May 2026)</t>
        </is>
      </c>
    </row>
    <row r="5"/>
    <row r="6">
      <c r="A6" s="23" t="inlineStr">
        <is>
          <t>KEY CHANGES FROM v4 → v5</t>
        </is>
      </c>
    </row>
    <row r="7">
      <c r="A7" t="inlineStr">
        <is>
          <t>1.</t>
        </is>
      </c>
      <c r="B7" s="24" t="inlineStr">
        <is>
          <t>Axis codification: X = Economic Sovereignty (ECON), Y = Political Integration (POL) — canonical for ALL scatter plots per Visual Style Guide May 2026. Chapter 4 Autonomy Landscape chart updated.</t>
        </is>
      </c>
    </row>
    <row r="8">
      <c r="A8" t="inlineStr">
        <is>
          <t>2.</t>
        </is>
      </c>
      <c r="B8" s="24" t="inlineStr">
        <is>
          <t>Member state count: 54 → 55. SADR/Western Sahara added as 55th AU member with Flag 3/Provisional notation (0.85 penalty applies). AU membership tracked per continental engagement, not recognition universality.</t>
        </is>
      </c>
    </row>
    <row r="9">
      <c r="A9" t="inlineStr">
        <is>
          <t>3.</t>
        </is>
      </c>
      <c r="B9" s="24" t="inlineStr">
        <is>
          <t>Niger score correction: Previous scores (Econ 36.3, Pol 38.1, Comp 34.3) replaced with verified canonical values. Niger: Econ 35.0, Pol 23.6, Pre-flag SAS 29.3, Flag 1-AES composite 28.4 (Phase 1). SAS Dimension Gap 11.4 pts — Watch.</t>
        </is>
      </c>
    </row>
    <row r="10">
      <c r="A10" t="inlineStr">
        <is>
          <t>4.</t>
        </is>
      </c>
      <c r="B10" s="24" t="inlineStr">
        <is>
          <t>SAS Risk Label column added to Baseline Scores sheet (Col 12): Balanced / Watch / At-Risk classification per Ch.5 canonical thresholds (&lt;10 / 10–20 / &gt;20 pts). Addresses university validation vulnerability identified May 2026.</t>
        </is>
      </c>
    </row>
    <row r="11">
      <c r="A11" t="inlineStr">
        <is>
          <t>5.</t>
        </is>
      </c>
      <c r="B11" s="24" t="inlineStr">
        <is>
          <t>Algeria retained as Phase 3A per workbook scores (Econ 73.1, Pol 56.8, Comp 65.0). NOTE: Chart version 52 plots DZA at approximately Econ 58/Pol 62 — chart/workbook reconciliation needed before GEM build.</t>
        </is>
      </c>
    </row>
    <row r="12">
      <c r="A12" t="inlineStr">
        <is>
          <t>6.</t>
        </is>
      </c>
      <c r="B12" s="24" t="inlineStr">
        <is>
          <t>Methodology Notes sheet updated: 54 → 55, axis codification added, SADR provisional scoring disclosure added. All internal version headers updated v3 → v5.</t>
        </is>
      </c>
    </row>
    <row r="13"/>
    <row r="14"/>
    <row r="15">
      <c r="A15" s="1" t="n"/>
    </row>
    <row r="16">
      <c r="A16" s="4" t="inlineStr">
        <is>
          <t>1.</t>
        </is>
      </c>
      <c r="B16" s="3" t="inlineStr">
        <is>
          <t>Version updated to v4 — Post-Ch.10 + Full Afrocentric Revision. CI count: 94 total (CI-001 – CI-094).</t>
        </is>
      </c>
    </row>
    <row r="17">
      <c r="A17" s="4" t="inlineStr">
        <is>
          <t>2.</t>
        </is>
      </c>
      <c r="B17" s="3" t="inlineStr">
        <is>
          <t>[1-AES] flag: Mali, Burkina Faso, Niger renamed from [AU SUSPENSION] to [1-AES] (Alliance des États du Sahel). Sovereignty Paradox disclosed. (Ch.1 §1.1.6)</t>
        </is>
      </c>
    </row>
    <row r="18">
      <c r="A18" s="4" t="inlineStr">
        <is>
          <t>3.</t>
        </is>
      </c>
      <c r="B18" s="3" t="inlineStr">
        <is>
          <t>[Flag M — CFA]: 14 CFA franc zone countries flagged for transparency. NO score penalty. Notation only. (Ch.3 §3.A.1)</t>
        </is>
      </c>
    </row>
    <row r="19">
      <c r="A19" s="4" t="inlineStr">
        <is>
          <t>4.</t>
        </is>
      </c>
      <c r="B19" s="3" t="inlineStr">
        <is>
          <t>Afrocentric calibration principle stated: AAI uses AU Agenda 2063 milestones as normative reference — NOT OECD/World Bank norms. (Ch.1 §1.2.2 / Ch.10 §10.1.1)</t>
        </is>
      </c>
    </row>
    <row r="20">
      <c r="A20" s="4" t="inlineStr">
        <is>
          <t>5.</t>
        </is>
      </c>
      <c r="B20" s="3" t="inlineStr">
        <is>
          <t>CI-088: Full Afrocentric intellectual genealogy — Diop (civilisational epistemology / KL-8.1), Amin (delinking / Phase system), Rodney (manufacturing gap), Cabral (weapons of theory), Sankara (Historical Reading Protocol). (Ch.10 §10.1.1)</t>
        </is>
      </c>
    </row>
    <row r="21">
      <c r="A21" s="4" t="inlineStr">
        <is>
          <t>6.</t>
        </is>
      </c>
      <c r="B21" s="3" t="inlineStr">
        <is>
          <t>CI-089: CFA franc as designed post-independence control architecture. Article 50; ~EUR 650M annual French Treasury profit (Pigeaud &amp; Sylla). (Ch.10 §10.2.1)</t>
        </is>
      </c>
    </row>
    <row r="22">
      <c r="A22" s="4" t="inlineStr">
        <is>
          <t>7.</t>
        </is>
      </c>
      <c r="B22" s="3" t="inlineStr">
        <is>
          <t>CI-090: Diop / Amin as analytical spine making Pan-Africanism measurable. Amin delinking = AAI Phase system in quantitative form. (Ch.10 §10.3.2)</t>
        </is>
      </c>
    </row>
    <row r="23">
      <c r="A23" s="4" t="inlineStr">
        <is>
          <t>8.</t>
        </is>
      </c>
      <c r="B23" s="3" t="inlineStr">
        <is>
          <t>CI-091: Autonomy Financing Facility — 90% African-financed. Structural inversion of aid dependency. Amin financial delinking framework. (Ch.10 §10.4.1)</t>
        </is>
      </c>
    </row>
    <row r="24">
      <c r="A24" s="4" t="inlineStr">
        <is>
          <t>9.</t>
        </is>
      </c>
      <c r="B24" s="3" t="inlineStr">
        <is>
          <t>CI-092: Priority Reforms 1 (CFA exit) and 3 (domestic resource processing) = structural decolonisation acts. Rodney / Cabral framing. (Ch.10 §10.4.4)</t>
        </is>
      </c>
    </row>
    <row r="25">
      <c r="A25" s="4" t="inlineStr">
        <is>
          <t>10.</t>
        </is>
      </c>
      <c r="B25" s="3" t="inlineStr">
        <is>
          <t>CI-093: AAI as "weapon of theory" — Cabral 1966 Havana Tricontinental. Diop IFAN model. 65-year data continuity as the task definition. (Ch.10 §10.7.1)</t>
        </is>
      </c>
    </row>
    <row r="26">
      <c r="A26" s="4" t="inlineStr">
        <is>
          <t>11.</t>
        </is>
      </c>
      <c r="B26" s="3" t="inlineStr">
        <is>
          <t>CI-094: Intellectual tributes — Nkrumah (Phase 4), Nyerere (Kujitegemea/Ujamaa), Diop (KL-8.1/CODESRIA-OSSREA), Amin (Phase system + AFF), Rodney, Cabral, Sankara. CLOSED. (Ch.10 §10.9)</t>
        </is>
      </c>
    </row>
    <row r="27">
      <c r="A27" s="4" t="inlineStr">
        <is>
          <t>12.</t>
        </is>
      </c>
      <c r="B27" s="3" t="inlineStr">
        <is>
          <t>Pre-publication checklist extended to 24 items (Items 21–24 new: CFA Flag M, 1-AES Paradox, AFF framing, Afrocentric genealogy in profiles).</t>
        </is>
      </c>
    </row>
    <row r="28"/>
    <row r="29">
      <c r="A29" s="1" t="inlineStr">
        <is>
          <t>CARRIED FORWARD FROM v3/v4</t>
        </is>
      </c>
    </row>
    <row r="30">
      <c r="A30" s="4" t="inlineStr">
        <is>
          <t>v3-1.</t>
        </is>
      </c>
      <c r="B30" s="3" t="inlineStr">
        <is>
          <t>Flag 3: 15% penalty (0.85) for severe missing data — codified in Ch.7 v2 (CI-033 RESOLVED)</t>
        </is>
      </c>
    </row>
    <row r="31">
      <c r="A31" s="4" t="inlineStr">
        <is>
          <t>v3-2.</t>
        </is>
      </c>
      <c r="B31" s="3" t="inlineStr">
        <is>
          <t>Dimension Gap labels — Ch.5 canonical: Balanced (&lt;10 pts) / Watch (10–20 pts) / At-Risk (&gt;20 pts). (CI-023)</t>
        </is>
      </c>
    </row>
    <row r="32">
      <c r="A32" s="4" t="inlineStr">
        <is>
          <t>v3-3.</t>
        </is>
      </c>
      <c r="B32" s="3" t="inlineStr">
        <is>
          <t>Eritrea: Flag 3. AU withdrawal = near-total Political data gap. Dual penalty. (CI-027)</t>
        </is>
      </c>
    </row>
    <row r="33">
      <c r="A33" s="4" t="inlineStr">
        <is>
          <t>v3-4.</t>
        </is>
      </c>
      <c r="B33" s="3" t="inlineStr">
        <is>
          <t>Botswana: Strategic Reserves raw FX months (18) ≠ scored indicator (10/10). (CI-025)</t>
        </is>
      </c>
    </row>
    <row r="34">
      <c r="A34" s="4" t="inlineStr">
        <is>
          <t>v3-5.</t>
        </is>
      </c>
      <c r="B34" s="3" t="inlineStr">
        <is>
          <t>Egypt: composite = 60.8. "81" = Economic Sovereignty score only, circa 2018–2019. (CI-026)</t>
        </is>
      </c>
    </row>
    <row r="35">
      <c r="A35" s="4" t="inlineStr">
        <is>
          <t>v3-6.</t>
        </is>
      </c>
      <c r="B35" s="3" t="inlineStr">
        <is>
          <t>Small-country 3-year rolling average: Seychelles, Djibouti, Comoros, Eswatini, Eq.Guinea, Mauritius. (Ch.7 v2)</t>
        </is>
      </c>
    </row>
    <row r="36">
      <c r="A36" s="4" t="inlineStr">
        <is>
          <t>v3-7.</t>
        </is>
      </c>
      <c r="B36" s="3" t="inlineStr">
        <is>
          <t>Poverty line: $2.15/day (2017 PPP) canonical. Service Delivery sub-indicator uses this threshold.</t>
        </is>
      </c>
    </row>
    <row r="37">
      <c r="A37" s="4" t="inlineStr">
        <is>
          <t>v3-8.</t>
        </is>
      </c>
      <c r="B37" s="3" t="inlineStr">
        <is>
          <t>Ghana/Zambia trajectory figures in Ch.9/10 text are ILLUSTRATIVE — Workbook baselines are canonical. (CI-035, CI-037)</t>
        </is>
      </c>
    </row>
    <row r="38">
      <c r="A38" s="4" t="inlineStr">
        <is>
          <t>v3-9.</t>
        </is>
      </c>
      <c r="B38" s="3" t="inlineStr">
        <is>
          <t>Rwanda canonical split confirmed: Econ 57.0, Pol 76.9. Phase 3B. (CI-038 VERIFIED)</t>
        </is>
      </c>
    </row>
    <row r="39"/>
    <row r="40"/>
    <row r="41">
      <c r="A41" s="1" t="inlineStr">
        <is>
          <t>SHEET GUIDE</t>
        </is>
      </c>
    </row>
    <row r="42">
      <c r="A42" s="2" t="inlineStr">
        <is>
          <t>📊 Baseline Scores</t>
        </is>
      </c>
      <c r="B42" s="3" t="inlineStr">
        <is>
          <t>All 55 AU member states — composite scores, phases, dimension gaps, SAS, flags</t>
        </is>
      </c>
    </row>
    <row r="43">
      <c r="A43" s="2" t="inlineStr">
        <is>
          <t>⚖️ Weight Scenarios</t>
        </is>
      </c>
      <c r="B43" s="3" t="inlineStr">
        <is>
          <t>9 pillar-weight stress-tests — swing ranges, phase stability</t>
        </is>
      </c>
    </row>
    <row r="44">
      <c r="A44" s="2" t="inlineStr">
        <is>
          <t>🔄 Missing-Data Rules</t>
        </is>
      </c>
      <c r="B44" s="3" t="inlineStr">
        <is>
          <t>5 imputation methods — Flag 0/1/2/3 penalties, imputation swing</t>
        </is>
      </c>
    </row>
    <row r="45">
      <c r="A45" s="2" t="inlineStr">
        <is>
          <t>🎯 Cutoff Sensitivity</t>
        </is>
      </c>
      <c r="B45" s="3" t="inlineStr">
        <is>
          <t>Phase boundary ±3/±5 shifts — at-risk countries</t>
        </is>
      </c>
    </row>
    <row r="46">
      <c r="A46" s="2" t="inlineStr">
        <is>
          <t>🔥 Swing Summary</t>
        </is>
      </c>
      <c r="B46" s="3" t="inlineStr">
        <is>
          <t>Ranked by total uncertainty — most volatile countries at top</t>
        </is>
      </c>
    </row>
    <row r="47">
      <c r="A47" s="2" t="inlineStr">
        <is>
          <t>📝 Methodology Notes</t>
        </is>
      </c>
      <c r="B47" s="3" t="inlineStr">
        <is>
          <t>Full technical appendix — scoring formula, phase system, CI disclosures</t>
        </is>
      </c>
    </row>
    <row r="48"/>
    <row r="49">
      <c r="A49" s="1" t="inlineStr">
        <is>
          <t>KEY FORMULAS</t>
        </is>
      </c>
    </row>
    <row r="50">
      <c r="A50" s="2" t="inlineStr">
        <is>
          <t>Composite (100-pt)</t>
        </is>
      </c>
      <c r="B50" s="3">
        <f> (Economic Score + Political Score) / 2</f>
        <v/>
      </c>
    </row>
    <row r="51">
      <c r="A51" s="2" t="inlineStr">
        <is>
          <t>Raw (200-pt)</t>
        </is>
      </c>
      <c r="B51" s="3">
        <f> Economic Score + Political Score</f>
        <v/>
      </c>
    </row>
    <row r="52">
      <c r="A52" s="2" t="inlineStr">
        <is>
          <t>Economic Score</t>
        </is>
      </c>
      <c r="B52" s="3">
        <f> MF×0.30 + PC×0.35 + TA×0.35</f>
        <v/>
      </c>
    </row>
    <row r="53">
      <c r="A53" s="2" t="inlineStr">
        <is>
          <t>Political Score</t>
        </is>
      </c>
      <c r="B53" s="3">
        <f> CE×0.40 + RC×0.30 + GC×0.30</f>
        <v/>
      </c>
    </row>
    <row r="54">
      <c r="A54" s="2" t="inlineStr">
        <is>
          <t>SAS</t>
        </is>
      </c>
      <c r="B54" s="3">
        <f> min(Econ, Pol) + |Econ − Pol| / 2</f>
        <v/>
      </c>
    </row>
    <row r="55">
      <c r="A55" s="2" t="inlineStr">
        <is>
          <t>Missing penalty</t>
        </is>
      </c>
      <c r="B55" s="3" t="inlineStr">
        <is>
          <t>Flag 0=×1.00 | Flag 1=×0.97 | Flag 2=×0.92 | Flag 3=×0.85</t>
        </is>
      </c>
    </row>
    <row r="56">
      <c r="A56" s="2" t="inlineStr">
        <is>
          <t>Midpoint</t>
        </is>
      </c>
      <c r="B56" s="3">
        <f> 60 (not 50) — used for Phase 3A/3B/3C sub-classification</f>
        <v/>
      </c>
    </row>
    <row r="57">
      <c r="A57" s="2" t="inlineStr">
        <is>
          <t>Phase boundary (≤60)</t>
        </is>
      </c>
      <c r="B57" s="3" t="inlineStr">
        <is>
          <t>Composite ≤60 = Phase 2 | ≥61 = Phase 3 (e.g., Senegal 59.4 = Phase 2)</t>
        </is>
      </c>
    </row>
    <row r="58">
      <c r="A58" s="2" t="inlineStr">
        <is>
          <t>Dimension Gap labels</t>
        </is>
      </c>
      <c r="B58" s="3" t="inlineStr">
        <is>
          <t>Balanced (&lt;10 pts) | Watch (10–20 pts) | At-Risk (&gt;20 pts) — Ch.5 canonical</t>
        </is>
      </c>
    </row>
    <row r="59">
      <c r="A59" t="inlineStr">
        <is>
          <t>Axis orientation</t>
        </is>
      </c>
      <c r="B59" s="24" t="inlineStr">
        <is>
          <t>X = Economic Sovereignty (ECON) | Y = Political Integration (POL) — ALL scatter plots (v5 canonical, Visual Style Guide May 2026)</t>
        </is>
      </c>
    </row>
    <row r="60"/>
    <row r="61">
      <c r="A61" s="1" t="inlineStr">
        <is>
          <t>IMPORTANT DISCLOSURES</t>
        </is>
      </c>
    </row>
    <row r="62">
      <c r="A62" s="2" t="inlineStr">
        <is>
          <t>Senegal</t>
        </is>
      </c>
      <c r="B62" s="3" t="inlineStr">
        <is>
          <t>Composite 59.4 = Phase 2. Ch.9 roadmap shows projected 2030 score of 67 — that is a TARGET, not current.</t>
        </is>
      </c>
    </row>
    <row r="63">
      <c r="A63" s="2" t="inlineStr">
        <is>
          <t>Egypt</t>
        </is>
      </c>
      <c r="B63" s="3" t="inlineStr">
        <is>
          <t>"81" figure cited in early chapters = Economic Sovereignty score only. Composite = 60.8 (Phase 2).</t>
        </is>
      </c>
    </row>
    <row r="64">
      <c r="A64" s="2" t="inlineStr">
        <is>
          <t>Botswana</t>
        </is>
      </c>
      <c r="B64" s="3" t="inlineStr">
        <is>
          <t>Strategic Reserves scored 10/10 (indicator maximum). FX months (18) are the raw data input, not the indicator score.</t>
        </is>
      </c>
    </row>
    <row r="65">
      <c r="A65" s="2" t="inlineStr">
        <is>
          <t>Eritrea</t>
        </is>
      </c>
      <c r="B65" s="3" t="inlineStr">
        <is>
          <t>Flag 3 applied (AU withdrawal = severe data gap). Dual penalty: zero score on Continental Engagement + Flag 3 composite penalty.</t>
        </is>
      </c>
    </row>
    <row r="66">
      <c r="A66" s="2" t="inlineStr">
        <is>
          <t>Rwanda</t>
        </is>
      </c>
      <c r="B66" s="3" t="inlineStr">
        <is>
          <t>Econ 57.0 / Pol 76.9 confirmed as canonical split. Phase 3B (Political Leader).</t>
        </is>
      </c>
    </row>
    <row r="67">
      <c r="A67" s="2" t="inlineStr">
        <is>
          <t>Mali / Burkina Faso / Niger</t>
        </is>
      </c>
      <c r="B67" s="25" t="inlineStr">
        <is>
          <t>[1-AES]: Mali, Burkina Faso, Niger — Political scores are pre-suspension baselines. Post-suspension scores provisional pending AU reinstatement. Niger canonical scores: Econ 35.0 / Pol 23.6 / Comp 28.4 (Phase 1) — VERIFIED.</t>
        </is>
      </c>
    </row>
    <row r="68">
      <c r="A68" t="inlineStr">
        <is>
          <t>SADR/Western Sahara</t>
        </is>
      </c>
      <c r="B68" s="24" t="inlineStr">
        <is>
          <t>55th AU member state. Included per AU membership tracking mandate. Flag 3/Provisional (0.85 penalty). Scores provisional pending comprehensive data access. ISO3: ESH.</t>
        </is>
      </c>
    </row>
    <row r="69"/>
    <row r="7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cols>
    <col width="18" customWidth="1" min="1" max="1"/>
    <col width="14" customWidth="1" min="2" max="2"/>
    <col width="10" customWidth="1" min="3" max="3"/>
    <col width="10" customWidth="1" min="4" max="4"/>
    <col width="11" customWidth="1" min="5" max="5"/>
    <col width="9" customWidth="1" min="6" max="6"/>
    <col width="10" customWidth="1" min="7" max="7"/>
    <col width="20" customWidth="1" min="8" max="8"/>
    <col width="12" customWidth="1" min="9" max="9"/>
    <col width="12" customWidth="1" min="10" max="10"/>
    <col width="8" customWidth="1" min="11" max="11"/>
    <col width="8" customWidth="1" min="12" max="12"/>
    <col width="14" customWidth="1" min="13" max="13"/>
    <col width="10" customWidth="1" min="14" max="14"/>
  </cols>
  <sheetData>
    <row r="1" ht="22" customHeight="1">
      <c r="A1" s="1" t="inlineStr">
        <is>
          <t>AAI BASELINE SCORES — All 55 AU Member States (incl. SADR/Western Sahara) | Heritage Builders 2026 | First Iteration | v5</t>
        </is>
      </c>
    </row>
    <row r="2" ht="36" customHeight="1">
      <c r="A2" s="5" t="inlineStr">
        <is>
          <t>Country</t>
        </is>
      </c>
      <c r="B2" s="5" t="inlineStr">
        <is>
          <t>Region</t>
        </is>
      </c>
      <c r="C2" s="5" t="inlineStr">
        <is>
          <t>Econ Score
(/100)</t>
        </is>
      </c>
      <c r="D2" s="5" t="inlineStr">
        <is>
          <t>Pol Score
(/100)</t>
        </is>
      </c>
      <c r="E2" s="5" t="inlineStr">
        <is>
          <t>Composite
(/100)</t>
        </is>
      </c>
      <c r="F2" s="5" t="inlineStr">
        <is>
          <t>200-pt
Raw</t>
        </is>
      </c>
      <c r="G2" s="5" t="inlineStr">
        <is>
          <t>Phase</t>
        </is>
      </c>
      <c r="H2" s="5" t="inlineStr">
        <is>
          <t>Phase Label</t>
        </is>
      </c>
      <c r="I2" s="5" t="inlineStr">
        <is>
          <t>Dimension
Gap (pts)</t>
        </is>
      </c>
      <c r="J2" s="5" t="inlineStr">
        <is>
          <t>Gap Label
(Ch.5)</t>
        </is>
      </c>
      <c r="K2" s="26" t="inlineStr">
        <is>
          <t>SAS Risk
Label</t>
        </is>
      </c>
      <c r="L2" s="5" t="inlineStr">
        <is>
          <t>SAS</t>
        </is>
      </c>
      <c r="M2" s="5" t="inlineStr">
        <is>
          <t>Missing
Flag</t>
        </is>
      </c>
      <c r="N2" s="5" t="inlineStr">
        <is>
          <t>AU / Special
Flag</t>
        </is>
      </c>
      <c r="O2" s="5" t="inlineStr">
        <is>
          <t>At-Risk
(±4pts)?</t>
        </is>
      </c>
    </row>
    <row r="3">
      <c r="A3" s="6" t="inlineStr">
        <is>
          <t>Botswana</t>
        </is>
      </c>
      <c r="B3" s="6" t="inlineStr">
        <is>
          <t>Southern Africa</t>
        </is>
      </c>
      <c r="C3" s="6" t="n">
        <v>84.59999999999999</v>
      </c>
      <c r="D3" s="6" t="n">
        <v>87.09999999999999</v>
      </c>
      <c r="E3" s="6" t="n">
        <v>85.90000000000001</v>
      </c>
      <c r="F3" s="6" t="n">
        <v>171.7</v>
      </c>
      <c r="G3" s="5" t="inlineStr">
        <is>
          <t>Phase 4</t>
        </is>
      </c>
      <c r="H3" s="6" t="inlineStr">
        <is>
          <t>Continental Leadership</t>
        </is>
      </c>
      <c r="I3" s="6" t="n">
        <v>2.5</v>
      </c>
      <c r="J3" s="7" t="inlineStr">
        <is>
          <t>Balanced</t>
        </is>
      </c>
      <c r="K3" t="inlineStr">
        <is>
          <t>Balanced</t>
        </is>
      </c>
      <c r="L3" s="6" t="n">
        <v>85.8</v>
      </c>
      <c r="M3" s="6" t="n">
        <v>0</v>
      </c>
      <c r="N3" s="6" t="inlineStr"/>
      <c r="O3" s="6" t="inlineStr">
        <is>
          <t>—</t>
        </is>
      </c>
    </row>
    <row r="4">
      <c r="A4" s="8" t="inlineStr">
        <is>
          <t>Mauritius</t>
        </is>
      </c>
      <c r="B4" s="8" t="inlineStr">
        <is>
          <t>East Africa</t>
        </is>
      </c>
      <c r="C4" s="8" t="n">
        <v>82.90000000000001</v>
      </c>
      <c r="D4" s="8" t="n">
        <v>88</v>
      </c>
      <c r="E4" s="8" t="n">
        <v>85.5</v>
      </c>
      <c r="F4" s="8" t="n">
        <v>170.9</v>
      </c>
      <c r="G4" s="5" t="inlineStr">
        <is>
          <t>Phase 4</t>
        </is>
      </c>
      <c r="H4" s="8" t="inlineStr">
        <is>
          <t>Continental Leadership</t>
        </is>
      </c>
      <c r="I4" s="8" t="n">
        <v>5.1</v>
      </c>
      <c r="J4" s="7" t="inlineStr">
        <is>
          <t>Balanced</t>
        </is>
      </c>
      <c r="K4" t="inlineStr">
        <is>
          <t>Balanced</t>
        </is>
      </c>
      <c r="L4" s="8" t="n">
        <v>85.40000000000001</v>
      </c>
      <c r="M4" s="8" t="n">
        <v>0</v>
      </c>
      <c r="N4" s="8" t="inlineStr">
        <is>
          <t>Rolling Avg</t>
        </is>
      </c>
      <c r="O4" s="8" t="inlineStr">
        <is>
          <t>—</t>
        </is>
      </c>
    </row>
    <row r="5">
      <c r="A5" s="6" t="inlineStr">
        <is>
          <t>South Africa</t>
        </is>
      </c>
      <c r="B5" s="6" t="inlineStr">
        <is>
          <t>Southern Africa</t>
        </is>
      </c>
      <c r="C5" s="6" t="n">
        <v>78.7</v>
      </c>
      <c r="D5" s="6" t="n">
        <v>87.90000000000001</v>
      </c>
      <c r="E5" s="6" t="n">
        <v>83.3</v>
      </c>
      <c r="F5" s="6" t="n">
        <v>166.6</v>
      </c>
      <c r="G5" s="5" t="inlineStr">
        <is>
          <t>Phase 4</t>
        </is>
      </c>
      <c r="H5" s="6" t="inlineStr">
        <is>
          <t>Continental Leadership</t>
        </is>
      </c>
      <c r="I5" s="6" t="n">
        <v>9.199999999999999</v>
      </c>
      <c r="J5" s="7" t="inlineStr">
        <is>
          <t>Balanced</t>
        </is>
      </c>
      <c r="K5" t="inlineStr">
        <is>
          <t>Balanced</t>
        </is>
      </c>
      <c r="L5" s="6" t="n">
        <v>83.3</v>
      </c>
      <c r="M5" s="6" t="n">
        <v>0</v>
      </c>
      <c r="N5" s="6" t="inlineStr"/>
      <c r="O5" s="6" t="inlineStr">
        <is>
          <t>—</t>
        </is>
      </c>
    </row>
    <row r="6">
      <c r="A6" s="8" t="inlineStr">
        <is>
          <t>Kenya</t>
        </is>
      </c>
      <c r="B6" s="8" t="inlineStr">
        <is>
          <t>East Africa</t>
        </is>
      </c>
      <c r="C6" s="8" t="n">
        <v>66.59999999999999</v>
      </c>
      <c r="D6" s="8" t="n">
        <v>72.3</v>
      </c>
      <c r="E6" s="8" t="n">
        <v>69.40000000000001</v>
      </c>
      <c r="F6" s="8" t="n">
        <v>138.9</v>
      </c>
      <c r="G6" s="9" t="inlineStr">
        <is>
          <t>Phase 3C</t>
        </is>
      </c>
      <c r="H6" s="8" t="inlineStr">
        <is>
          <t>Sovereignty Consolidating</t>
        </is>
      </c>
      <c r="I6" s="8" t="n">
        <v>5.7</v>
      </c>
      <c r="J6" s="7" t="inlineStr">
        <is>
          <t>Balanced</t>
        </is>
      </c>
      <c r="K6" t="inlineStr">
        <is>
          <t>Balanced</t>
        </is>
      </c>
      <c r="L6" s="8" t="n">
        <v>69.40000000000001</v>
      </c>
      <c r="M6" s="8" t="n">
        <v>0</v>
      </c>
      <c r="N6" s="8" t="inlineStr"/>
      <c r="O6" s="8" t="inlineStr">
        <is>
          <t>—</t>
        </is>
      </c>
    </row>
    <row r="7">
      <c r="A7" s="6" t="inlineStr">
        <is>
          <t>Rwanda</t>
        </is>
      </c>
      <c r="B7" s="6" t="inlineStr">
        <is>
          <t>East Africa</t>
        </is>
      </c>
      <c r="C7" s="6" t="n">
        <v>57</v>
      </c>
      <c r="D7" s="6" t="n">
        <v>76.90000000000001</v>
      </c>
      <c r="E7" s="6" t="n">
        <v>67</v>
      </c>
      <c r="F7" s="6" t="n">
        <v>133.9</v>
      </c>
      <c r="G7" s="10" t="inlineStr">
        <is>
          <t>Phase 3B</t>
        </is>
      </c>
      <c r="H7" s="6" t="inlineStr">
        <is>
          <t>Political Leader</t>
        </is>
      </c>
      <c r="I7" s="6" t="n">
        <v>19.9</v>
      </c>
      <c r="J7" s="11" t="inlineStr">
        <is>
          <t>Watch</t>
        </is>
      </c>
      <c r="K7" t="inlineStr">
        <is>
          <t>Watch</t>
        </is>
      </c>
      <c r="L7" s="6" t="n">
        <v>67</v>
      </c>
      <c r="M7" s="6" t="n">
        <v>0</v>
      </c>
      <c r="N7" s="6" t="inlineStr"/>
      <c r="O7" s="6" t="inlineStr">
        <is>
          <t>—</t>
        </is>
      </c>
    </row>
    <row r="8">
      <c r="A8" s="8" t="inlineStr">
        <is>
          <t>Morocco</t>
        </is>
      </c>
      <c r="B8" s="8" t="inlineStr">
        <is>
          <t>North Africa</t>
        </is>
      </c>
      <c r="C8" s="8" t="n">
        <v>69.8</v>
      </c>
      <c r="D8" s="8" t="n">
        <v>62.6</v>
      </c>
      <c r="E8" s="8" t="n">
        <v>66.2</v>
      </c>
      <c r="F8" s="8" t="n">
        <v>132.4</v>
      </c>
      <c r="G8" s="9" t="inlineStr">
        <is>
          <t>Phase 3C</t>
        </is>
      </c>
      <c r="H8" s="8" t="inlineStr">
        <is>
          <t>Sovereignty Consolidating</t>
        </is>
      </c>
      <c r="I8" s="8" t="n">
        <v>7.2</v>
      </c>
      <c r="J8" s="7" t="inlineStr">
        <is>
          <t>Balanced</t>
        </is>
      </c>
      <c r="K8" t="inlineStr">
        <is>
          <t>Balanced</t>
        </is>
      </c>
      <c r="L8" s="8" t="n">
        <v>66.2</v>
      </c>
      <c r="M8" s="8" t="n">
        <v>0</v>
      </c>
      <c r="N8" s="8" t="inlineStr"/>
      <c r="O8" s="8" t="inlineStr">
        <is>
          <t>—</t>
        </is>
      </c>
    </row>
    <row r="9">
      <c r="A9" s="6" t="inlineStr">
        <is>
          <t>Algeria</t>
        </is>
      </c>
      <c r="B9" s="6" t="inlineStr">
        <is>
          <t>North Africa</t>
        </is>
      </c>
      <c r="C9" s="6" t="n">
        <v>73.09999999999999</v>
      </c>
      <c r="D9" s="6" t="n">
        <v>56.8</v>
      </c>
      <c r="E9" s="6" t="n">
        <v>65</v>
      </c>
      <c r="F9" s="6" t="n">
        <v>129.9</v>
      </c>
      <c r="G9" s="12" t="inlineStr">
        <is>
          <t>Phase 3A</t>
        </is>
      </c>
      <c r="H9" s="6" t="inlineStr">
        <is>
          <t>Economic Leader</t>
        </is>
      </c>
      <c r="I9" s="6" t="n">
        <v>16.3</v>
      </c>
      <c r="J9" s="11" t="inlineStr">
        <is>
          <t>Watch</t>
        </is>
      </c>
      <c r="K9" t="inlineStr">
        <is>
          <t>Watch</t>
        </is>
      </c>
      <c r="L9" s="6" t="n">
        <v>65</v>
      </c>
      <c r="M9" s="6" t="n">
        <v>0</v>
      </c>
      <c r="N9" s="6" t="inlineStr"/>
      <c r="O9" s="6" t="inlineStr">
        <is>
          <t>—</t>
        </is>
      </c>
    </row>
    <row r="10">
      <c r="A10" s="8" t="inlineStr">
        <is>
          <t>Seychelles</t>
        </is>
      </c>
      <c r="B10" s="8" t="inlineStr">
        <is>
          <t>East Africa</t>
        </is>
      </c>
      <c r="C10" s="8" t="n">
        <v>63.5</v>
      </c>
      <c r="D10" s="8" t="n">
        <v>63.8</v>
      </c>
      <c r="E10" s="8" t="n">
        <v>63.6</v>
      </c>
      <c r="F10" s="8" t="n">
        <v>127.3</v>
      </c>
      <c r="G10" s="9" t="inlineStr">
        <is>
          <t>Phase 3C</t>
        </is>
      </c>
      <c r="H10" s="8" t="inlineStr">
        <is>
          <t>Sovereignty Consolidating</t>
        </is>
      </c>
      <c r="I10" s="8" t="n">
        <v>0.3</v>
      </c>
      <c r="J10" s="7" t="inlineStr">
        <is>
          <t>Balanced</t>
        </is>
      </c>
      <c r="K10" t="inlineStr">
        <is>
          <t>Balanced</t>
        </is>
      </c>
      <c r="L10" s="8" t="n">
        <v>63.6</v>
      </c>
      <c r="M10" s="8" t="n">
        <v>0</v>
      </c>
      <c r="N10" s="8" t="inlineStr">
        <is>
          <t>Rolling Avg</t>
        </is>
      </c>
      <c r="O10" s="8" t="inlineStr">
        <is>
          <t>—</t>
        </is>
      </c>
    </row>
    <row r="11">
      <c r="A11" s="6" t="inlineStr">
        <is>
          <t>Tanzania</t>
        </is>
      </c>
      <c r="B11" s="6" t="inlineStr">
        <is>
          <t>East Africa</t>
        </is>
      </c>
      <c r="C11" s="6" t="n">
        <v>57.8</v>
      </c>
      <c r="D11" s="6" t="n">
        <v>66.8</v>
      </c>
      <c r="E11" s="6" t="n">
        <v>62.3</v>
      </c>
      <c r="F11" s="6" t="n">
        <v>124.6</v>
      </c>
      <c r="G11" s="9" t="inlineStr">
        <is>
          <t>Phase 3C</t>
        </is>
      </c>
      <c r="H11" s="6" t="inlineStr">
        <is>
          <t>Sovereignty Consolidating</t>
        </is>
      </c>
      <c r="I11" s="6" t="n">
        <v>9</v>
      </c>
      <c r="J11" s="7" t="inlineStr">
        <is>
          <t>Balanced</t>
        </is>
      </c>
      <c r="K11" t="inlineStr">
        <is>
          <t>Balanced</t>
        </is>
      </c>
      <c r="L11" s="6" t="n">
        <v>62.3</v>
      </c>
      <c r="M11" s="6" t="n">
        <v>0</v>
      </c>
      <c r="N11" s="6" t="inlineStr"/>
      <c r="O11" s="6" t="inlineStr">
        <is>
          <t>—</t>
        </is>
      </c>
    </row>
    <row r="12">
      <c r="A12" s="8" t="inlineStr">
        <is>
          <t>Namibia</t>
        </is>
      </c>
      <c r="B12" s="8" t="inlineStr">
        <is>
          <t>Southern Africa</t>
        </is>
      </c>
      <c r="C12" s="8" t="n">
        <v>60.7</v>
      </c>
      <c r="D12" s="8" t="n">
        <v>63.8</v>
      </c>
      <c r="E12" s="8" t="n">
        <v>62.2</v>
      </c>
      <c r="F12" s="8" t="n">
        <v>124.5</v>
      </c>
      <c r="G12" s="9" t="inlineStr">
        <is>
          <t>Phase 3C</t>
        </is>
      </c>
      <c r="H12" s="8" t="inlineStr">
        <is>
          <t>Sovereignty Consolidating</t>
        </is>
      </c>
      <c r="I12" s="8" t="n">
        <v>3.1</v>
      </c>
      <c r="J12" s="7" t="inlineStr">
        <is>
          <t>Balanced</t>
        </is>
      </c>
      <c r="K12" t="inlineStr">
        <is>
          <t>Balanced</t>
        </is>
      </c>
      <c r="L12" s="8" t="n">
        <v>62.2</v>
      </c>
      <c r="M12" s="8" t="n">
        <v>0</v>
      </c>
      <c r="N12" s="8" t="inlineStr"/>
      <c r="O12" s="8" t="inlineStr">
        <is>
          <t>—</t>
        </is>
      </c>
    </row>
    <row r="13">
      <c r="A13" s="6" t="inlineStr">
        <is>
          <t>Tunisia</t>
        </is>
      </c>
      <c r="B13" s="6" t="inlineStr">
        <is>
          <t>North Africa</t>
        </is>
      </c>
      <c r="C13" s="6" t="n">
        <v>62.9</v>
      </c>
      <c r="D13" s="6" t="n">
        <v>59.2</v>
      </c>
      <c r="E13" s="6" t="n">
        <v>61</v>
      </c>
      <c r="F13" s="6" t="n">
        <v>122.1</v>
      </c>
      <c r="G13" s="9" t="inlineStr">
        <is>
          <t>Phase 3C</t>
        </is>
      </c>
      <c r="H13" s="6" t="inlineStr">
        <is>
          <t>Sovereignty Consolidating</t>
        </is>
      </c>
      <c r="I13" s="6" t="n">
        <v>3.7</v>
      </c>
      <c r="J13" s="7" t="inlineStr">
        <is>
          <t>Balanced</t>
        </is>
      </c>
      <c r="K13" t="inlineStr">
        <is>
          <t>Balanced</t>
        </is>
      </c>
      <c r="L13" s="6" t="n">
        <v>61</v>
      </c>
      <c r="M13" s="6" t="n">
        <v>0</v>
      </c>
      <c r="N13" s="6" t="inlineStr"/>
      <c r="O13" s="6" t="inlineStr">
        <is>
          <t>—</t>
        </is>
      </c>
    </row>
    <row r="14">
      <c r="A14" s="8" t="inlineStr">
        <is>
          <t>Egypt</t>
        </is>
      </c>
      <c r="B14" s="8" t="inlineStr">
        <is>
          <t>North Africa</t>
        </is>
      </c>
      <c r="C14" s="8" t="n">
        <v>65.8</v>
      </c>
      <c r="D14" s="8" t="n">
        <v>55.8</v>
      </c>
      <c r="E14" s="8" t="n">
        <v>60.8</v>
      </c>
      <c r="F14" s="8" t="n">
        <v>121.6</v>
      </c>
      <c r="G14" s="13" t="inlineStr">
        <is>
          <t>Phase 2</t>
        </is>
      </c>
      <c r="H14" s="8" t="inlineStr">
        <is>
          <t>Integration Establishing</t>
        </is>
      </c>
      <c r="I14" s="8" t="n">
        <v>10</v>
      </c>
      <c r="J14" s="11" t="inlineStr">
        <is>
          <t>Watch</t>
        </is>
      </c>
      <c r="K14" t="inlineStr">
        <is>
          <t>Watch</t>
        </is>
      </c>
      <c r="L14" s="8" t="n">
        <v>60.8</v>
      </c>
      <c r="M14" s="8" t="n">
        <v>0</v>
      </c>
      <c r="N14" s="8" t="inlineStr"/>
      <c r="O14" s="8" t="inlineStr">
        <is>
          <t>—</t>
        </is>
      </c>
    </row>
    <row r="15">
      <c r="A15" s="6" t="inlineStr">
        <is>
          <t>Ghana</t>
        </is>
      </c>
      <c r="B15" s="6" t="inlineStr">
        <is>
          <t>West Africa</t>
        </is>
      </c>
      <c r="C15" s="6" t="n">
        <v>58</v>
      </c>
      <c r="D15" s="6" t="n">
        <v>62.1</v>
      </c>
      <c r="E15" s="6" t="n">
        <v>60</v>
      </c>
      <c r="F15" s="6" t="n">
        <v>120.1</v>
      </c>
      <c r="G15" s="13" t="inlineStr">
        <is>
          <t>Phase 2</t>
        </is>
      </c>
      <c r="H15" s="6" t="inlineStr">
        <is>
          <t>Integration Establishing</t>
        </is>
      </c>
      <c r="I15" s="6" t="n">
        <v>4.1</v>
      </c>
      <c r="J15" s="7" t="inlineStr">
        <is>
          <t>Balanced</t>
        </is>
      </c>
      <c r="K15" t="inlineStr">
        <is>
          <t>Balanced</t>
        </is>
      </c>
      <c r="L15" s="6" t="n">
        <v>60</v>
      </c>
      <c r="M15" s="6" t="n">
        <v>0</v>
      </c>
      <c r="N15" s="6" t="inlineStr"/>
      <c r="O15" s="6" t="inlineStr">
        <is>
          <t>—</t>
        </is>
      </c>
    </row>
    <row r="16">
      <c r="A16" s="8" t="inlineStr">
        <is>
          <t>Senegal</t>
        </is>
      </c>
      <c r="B16" s="8" t="inlineStr">
        <is>
          <t>West Africa</t>
        </is>
      </c>
      <c r="C16" s="8" t="n">
        <v>46.4</v>
      </c>
      <c r="D16" s="8" t="n">
        <v>72.40000000000001</v>
      </c>
      <c r="E16" s="8" t="n">
        <v>59.4</v>
      </c>
      <c r="F16" s="8" t="n">
        <v>118.8</v>
      </c>
      <c r="G16" s="13" t="inlineStr">
        <is>
          <t>Phase 2</t>
        </is>
      </c>
      <c r="H16" s="8" t="inlineStr">
        <is>
          <t>Integration Establishing</t>
        </is>
      </c>
      <c r="I16" s="8" t="n">
        <v>26</v>
      </c>
      <c r="J16" s="14" t="inlineStr">
        <is>
          <t>At-Risk</t>
        </is>
      </c>
      <c r="K16" t="inlineStr">
        <is>
          <t>At-Risk</t>
        </is>
      </c>
      <c r="L16" s="8" t="n">
        <v>59.4</v>
      </c>
      <c r="M16" s="8" t="n">
        <v>0</v>
      </c>
      <c r="N16" s="8" t="inlineStr">
        <is>
          <t>[Flag M — CFA]</t>
        </is>
      </c>
      <c r="O16" s="8" t="inlineStr">
        <is>
          <t>—</t>
        </is>
      </c>
    </row>
    <row r="17">
      <c r="A17" s="6" t="inlineStr">
        <is>
          <t>Nigeria</t>
        </is>
      </c>
      <c r="B17" s="6" t="inlineStr">
        <is>
          <t>West Africa</t>
        </is>
      </c>
      <c r="C17" s="6" t="n">
        <v>62.4</v>
      </c>
      <c r="D17" s="6" t="n">
        <v>50.7</v>
      </c>
      <c r="E17" s="6" t="n">
        <v>56.6</v>
      </c>
      <c r="F17" s="6" t="n">
        <v>113.1</v>
      </c>
      <c r="G17" s="13" t="inlineStr">
        <is>
          <t>Phase 2</t>
        </is>
      </c>
      <c r="H17" s="6" t="inlineStr">
        <is>
          <t>Integration Establishing</t>
        </is>
      </c>
      <c r="I17" s="6" t="n">
        <v>11.7</v>
      </c>
      <c r="J17" s="11" t="inlineStr">
        <is>
          <t>Watch</t>
        </is>
      </c>
      <c r="K17" t="inlineStr">
        <is>
          <t>Watch</t>
        </is>
      </c>
      <c r="L17" s="6" t="n">
        <v>56.6</v>
      </c>
      <c r="M17" s="6" t="n">
        <v>0</v>
      </c>
      <c r="N17" s="6" t="inlineStr"/>
      <c r="O17" s="6" t="inlineStr">
        <is>
          <t>—</t>
        </is>
      </c>
    </row>
    <row r="18">
      <c r="A18" s="8" t="inlineStr">
        <is>
          <t>Ethiopia</t>
        </is>
      </c>
      <c r="B18" s="8" t="inlineStr">
        <is>
          <t>East Africa</t>
        </is>
      </c>
      <c r="C18" s="8" t="n">
        <v>54.3</v>
      </c>
      <c r="D18" s="8" t="n">
        <v>58</v>
      </c>
      <c r="E18" s="8" t="n">
        <v>56.1</v>
      </c>
      <c r="F18" s="8" t="n">
        <v>112.3</v>
      </c>
      <c r="G18" s="13" t="inlineStr">
        <is>
          <t>Phase 2</t>
        </is>
      </c>
      <c r="H18" s="8" t="inlineStr">
        <is>
          <t>Integration Establishing</t>
        </is>
      </c>
      <c r="I18" s="8" t="n">
        <v>3.7</v>
      </c>
      <c r="J18" s="7" t="inlineStr">
        <is>
          <t>Balanced</t>
        </is>
      </c>
      <c r="K18" t="inlineStr">
        <is>
          <t>Balanced</t>
        </is>
      </c>
      <c r="L18" s="8" t="n">
        <v>56.2</v>
      </c>
      <c r="M18" s="8" t="n">
        <v>0</v>
      </c>
      <c r="N18" s="8" t="inlineStr"/>
      <c r="O18" s="8" t="inlineStr">
        <is>
          <t>—</t>
        </is>
      </c>
    </row>
    <row r="19">
      <c r="A19" s="6" t="inlineStr">
        <is>
          <t>Cape Verde</t>
        </is>
      </c>
      <c r="B19" s="6" t="inlineStr">
        <is>
          <t>West Africa</t>
        </is>
      </c>
      <c r="C19" s="6" t="n">
        <v>51.8</v>
      </c>
      <c r="D19" s="6" t="n">
        <v>57.4</v>
      </c>
      <c r="E19" s="6" t="n">
        <v>54.6</v>
      </c>
      <c r="F19" s="6" t="n">
        <v>109.2</v>
      </c>
      <c r="G19" s="13" t="inlineStr">
        <is>
          <t>Phase 2</t>
        </is>
      </c>
      <c r="H19" s="6" t="inlineStr">
        <is>
          <t>Integration Establishing</t>
        </is>
      </c>
      <c r="I19" s="6" t="n">
        <v>5.6</v>
      </c>
      <c r="J19" s="7" t="inlineStr">
        <is>
          <t>Balanced</t>
        </is>
      </c>
      <c r="K19" t="inlineStr">
        <is>
          <t>Balanced</t>
        </is>
      </c>
      <c r="L19" s="6" t="n">
        <v>54.6</v>
      </c>
      <c r="M19" s="6" t="n">
        <v>0</v>
      </c>
      <c r="N19" s="6" t="inlineStr"/>
      <c r="O19" s="6" t="inlineStr">
        <is>
          <t>—</t>
        </is>
      </c>
    </row>
    <row r="20">
      <c r="A20" s="8" t="inlineStr">
        <is>
          <t>Côte d'Ivoire</t>
        </is>
      </c>
      <c r="B20" s="8" t="inlineStr">
        <is>
          <t>West Africa</t>
        </is>
      </c>
      <c r="C20" s="8" t="n">
        <v>47.9</v>
      </c>
      <c r="D20" s="8" t="n">
        <v>58.4</v>
      </c>
      <c r="E20" s="8" t="n">
        <v>53.2</v>
      </c>
      <c r="F20" s="8" t="n">
        <v>106.3</v>
      </c>
      <c r="G20" s="13" t="inlineStr">
        <is>
          <t>Phase 2</t>
        </is>
      </c>
      <c r="H20" s="8" t="inlineStr">
        <is>
          <t>Integration Establishing</t>
        </is>
      </c>
      <c r="I20" s="8" t="n">
        <v>10.5</v>
      </c>
      <c r="J20" s="11" t="inlineStr">
        <is>
          <t>Watch</t>
        </is>
      </c>
      <c r="K20" t="inlineStr">
        <is>
          <t>Watch</t>
        </is>
      </c>
      <c r="L20" s="8" t="n">
        <v>53.2</v>
      </c>
      <c r="M20" s="8" t="n">
        <v>0</v>
      </c>
      <c r="N20" s="8" t="inlineStr">
        <is>
          <t>[Flag M — CFA]</t>
        </is>
      </c>
      <c r="O20" s="8" t="inlineStr">
        <is>
          <t>—</t>
        </is>
      </c>
    </row>
    <row r="21">
      <c r="A21" s="6" t="inlineStr">
        <is>
          <t>Uganda</t>
        </is>
      </c>
      <c r="B21" s="6" t="inlineStr">
        <is>
          <t>East Africa</t>
        </is>
      </c>
      <c r="C21" s="6" t="n">
        <v>49.4</v>
      </c>
      <c r="D21" s="6" t="n">
        <v>53.8</v>
      </c>
      <c r="E21" s="6" t="n">
        <v>51.6</v>
      </c>
      <c r="F21" s="6" t="n">
        <v>103.2</v>
      </c>
      <c r="G21" s="13" t="inlineStr">
        <is>
          <t>Phase 2</t>
        </is>
      </c>
      <c r="H21" s="6" t="inlineStr">
        <is>
          <t>Integration Establishing</t>
        </is>
      </c>
      <c r="I21" s="6" t="n">
        <v>4.4</v>
      </c>
      <c r="J21" s="7" t="inlineStr">
        <is>
          <t>Balanced</t>
        </is>
      </c>
      <c r="K21" t="inlineStr">
        <is>
          <t>Balanced</t>
        </is>
      </c>
      <c r="L21" s="6" t="n">
        <v>51.6</v>
      </c>
      <c r="M21" s="6" t="n">
        <v>0</v>
      </c>
      <c r="N21" s="6" t="inlineStr"/>
      <c r="O21" s="6" t="inlineStr">
        <is>
          <t>—</t>
        </is>
      </c>
    </row>
    <row r="22">
      <c r="A22" s="8" t="inlineStr">
        <is>
          <t>Gabon</t>
        </is>
      </c>
      <c r="B22" s="8" t="inlineStr">
        <is>
          <t>Central Africa</t>
        </is>
      </c>
      <c r="C22" s="8" t="n">
        <v>52.7</v>
      </c>
      <c r="D22" s="8" t="n">
        <v>48.5</v>
      </c>
      <c r="E22" s="8" t="n">
        <v>50.6</v>
      </c>
      <c r="F22" s="8" t="n">
        <v>101.2</v>
      </c>
      <c r="G22" s="13" t="inlineStr">
        <is>
          <t>Phase 2</t>
        </is>
      </c>
      <c r="H22" s="8" t="inlineStr">
        <is>
          <t>Integration Establishing</t>
        </is>
      </c>
      <c r="I22" s="8" t="n">
        <v>4.2</v>
      </c>
      <c r="J22" s="7" t="inlineStr">
        <is>
          <t>Balanced</t>
        </is>
      </c>
      <c r="K22" t="inlineStr">
        <is>
          <t>Balanced</t>
        </is>
      </c>
      <c r="L22" s="8" t="n">
        <v>50.6</v>
      </c>
      <c r="M22" s="8" t="n">
        <v>0</v>
      </c>
      <c r="N22" s="8" t="inlineStr">
        <is>
          <t>[Flag M — CFA]</t>
        </is>
      </c>
      <c r="O22" s="8" t="inlineStr">
        <is>
          <t>—</t>
        </is>
      </c>
    </row>
    <row r="23">
      <c r="A23" s="6" t="inlineStr">
        <is>
          <t>Cameroon</t>
        </is>
      </c>
      <c r="B23" s="6" t="inlineStr">
        <is>
          <t>Central Africa</t>
        </is>
      </c>
      <c r="C23" s="6" t="n">
        <v>47.5</v>
      </c>
      <c r="D23" s="6" t="n">
        <v>50.8</v>
      </c>
      <c r="E23" s="6" t="n">
        <v>49.1</v>
      </c>
      <c r="F23" s="6" t="n">
        <v>98.3</v>
      </c>
      <c r="G23" s="13" t="inlineStr">
        <is>
          <t>Phase 2</t>
        </is>
      </c>
      <c r="H23" s="6" t="inlineStr">
        <is>
          <t>Integration Establishing</t>
        </is>
      </c>
      <c r="I23" s="6" t="n">
        <v>3.3</v>
      </c>
      <c r="J23" s="7" t="inlineStr">
        <is>
          <t>Balanced</t>
        </is>
      </c>
      <c r="K23" t="inlineStr">
        <is>
          <t>Balanced</t>
        </is>
      </c>
      <c r="L23" s="6" t="n">
        <v>49.2</v>
      </c>
      <c r="M23" s="6" t="n">
        <v>0</v>
      </c>
      <c r="N23" s="6" t="inlineStr">
        <is>
          <t>[Flag M — CFA]</t>
        </is>
      </c>
      <c r="O23" s="6" t="inlineStr">
        <is>
          <t>—</t>
        </is>
      </c>
    </row>
    <row r="24">
      <c r="A24" s="8" t="inlineStr">
        <is>
          <t>Zambia</t>
        </is>
      </c>
      <c r="B24" s="8" t="inlineStr">
        <is>
          <t>Southern Africa</t>
        </is>
      </c>
      <c r="C24" s="8" t="n">
        <v>46.2</v>
      </c>
      <c r="D24" s="8" t="n">
        <v>49.9</v>
      </c>
      <c r="E24" s="8" t="n">
        <v>48</v>
      </c>
      <c r="F24" s="8" t="n">
        <v>96.09999999999999</v>
      </c>
      <c r="G24" s="13" t="inlineStr">
        <is>
          <t>Phase 2</t>
        </is>
      </c>
      <c r="H24" s="8" t="inlineStr">
        <is>
          <t>Integration Establishing</t>
        </is>
      </c>
      <c r="I24" s="8" t="n">
        <v>3.7</v>
      </c>
      <c r="J24" s="7" t="inlineStr">
        <is>
          <t>Balanced</t>
        </is>
      </c>
      <c r="K24" t="inlineStr">
        <is>
          <t>Balanced</t>
        </is>
      </c>
      <c r="L24" s="8" t="n">
        <v>48.1</v>
      </c>
      <c r="M24" s="8" t="n">
        <v>0</v>
      </c>
      <c r="N24" s="8" t="inlineStr"/>
      <c r="O24" s="8" t="inlineStr">
        <is>
          <t>—</t>
        </is>
      </c>
    </row>
    <row r="25">
      <c r="A25" s="6" t="inlineStr">
        <is>
          <t>Angola</t>
        </is>
      </c>
      <c r="B25" s="6" t="inlineStr">
        <is>
          <t>Southern Africa</t>
        </is>
      </c>
      <c r="C25" s="6" t="n">
        <v>49.9</v>
      </c>
      <c r="D25" s="6" t="n">
        <v>45.6</v>
      </c>
      <c r="E25" s="6" t="n">
        <v>47.8</v>
      </c>
      <c r="F25" s="6" t="n">
        <v>95.5</v>
      </c>
      <c r="G25" s="13" t="inlineStr">
        <is>
          <t>Phase 2</t>
        </is>
      </c>
      <c r="H25" s="6" t="inlineStr">
        <is>
          <t>Integration Establishing</t>
        </is>
      </c>
      <c r="I25" s="6" t="n">
        <v>4.3</v>
      </c>
      <c r="J25" s="7" t="inlineStr">
        <is>
          <t>Balanced</t>
        </is>
      </c>
      <c r="K25" t="inlineStr">
        <is>
          <t>Balanced</t>
        </is>
      </c>
      <c r="L25" s="6" t="n">
        <v>47.8</v>
      </c>
      <c r="M25" s="6" t="n">
        <v>0</v>
      </c>
      <c r="N25" s="6" t="inlineStr"/>
      <c r="O25" s="6" t="inlineStr">
        <is>
          <t>—</t>
        </is>
      </c>
    </row>
    <row r="26">
      <c r="A26" s="8" t="inlineStr">
        <is>
          <t>Benin</t>
        </is>
      </c>
      <c r="B26" s="8" t="inlineStr">
        <is>
          <t>West Africa</t>
        </is>
      </c>
      <c r="C26" s="8" t="n">
        <v>42.6</v>
      </c>
      <c r="D26" s="8" t="n">
        <v>50</v>
      </c>
      <c r="E26" s="8" t="n">
        <v>46.3</v>
      </c>
      <c r="F26" s="8" t="n">
        <v>92.59999999999999</v>
      </c>
      <c r="G26" s="13" t="inlineStr">
        <is>
          <t>Phase 2</t>
        </is>
      </c>
      <c r="H26" s="8" t="inlineStr">
        <is>
          <t>Integration Establishing</t>
        </is>
      </c>
      <c r="I26" s="8" t="n">
        <v>7.4</v>
      </c>
      <c r="J26" s="7" t="inlineStr">
        <is>
          <t>Balanced</t>
        </is>
      </c>
      <c r="K26" t="inlineStr">
        <is>
          <t>Balanced</t>
        </is>
      </c>
      <c r="L26" s="8" t="n">
        <v>46.3</v>
      </c>
      <c r="M26" s="8" t="n">
        <v>0</v>
      </c>
      <c r="N26" s="8" t="inlineStr">
        <is>
          <t>[Flag M — CFA]</t>
        </is>
      </c>
      <c r="O26" s="8" t="inlineStr">
        <is>
          <t>—</t>
        </is>
      </c>
    </row>
    <row r="27">
      <c r="A27" s="6" t="inlineStr">
        <is>
          <t>Libya</t>
        </is>
      </c>
      <c r="B27" s="6" t="inlineStr">
        <is>
          <t>North Africa</t>
        </is>
      </c>
      <c r="C27" s="6" t="n">
        <v>54.9</v>
      </c>
      <c r="D27" s="6" t="n">
        <v>42.3</v>
      </c>
      <c r="E27" s="6" t="n">
        <v>44.7</v>
      </c>
      <c r="F27" s="6" t="n">
        <v>97.2</v>
      </c>
      <c r="G27" s="13" t="inlineStr">
        <is>
          <t>Phase 2</t>
        </is>
      </c>
      <c r="H27" s="6" t="inlineStr">
        <is>
          <t>Integration Establishing</t>
        </is>
      </c>
      <c r="I27" s="6" t="n">
        <v>12.6</v>
      </c>
      <c r="J27" s="11" t="inlineStr">
        <is>
          <t>Watch</t>
        </is>
      </c>
      <c r="K27" t="inlineStr">
        <is>
          <t>Watch</t>
        </is>
      </c>
      <c r="L27" s="6" t="n">
        <v>48.6</v>
      </c>
      <c r="M27" s="11" t="n">
        <v>2</v>
      </c>
      <c r="N27" s="6" t="inlineStr"/>
      <c r="O27" s="6" t="inlineStr">
        <is>
          <t>—</t>
        </is>
      </c>
    </row>
    <row r="28">
      <c r="A28" s="8" t="inlineStr">
        <is>
          <t>Mauritania</t>
        </is>
      </c>
      <c r="B28" s="8" t="inlineStr">
        <is>
          <t>North Africa</t>
        </is>
      </c>
      <c r="C28" s="8" t="n">
        <v>46.5</v>
      </c>
      <c r="D28" s="8" t="n">
        <v>44.9</v>
      </c>
      <c r="E28" s="8" t="n">
        <v>44.3</v>
      </c>
      <c r="F28" s="8" t="n">
        <v>91.40000000000001</v>
      </c>
      <c r="G28" s="13" t="inlineStr">
        <is>
          <t>Phase 2</t>
        </is>
      </c>
      <c r="H28" s="8" t="inlineStr">
        <is>
          <t>Integration Establishing</t>
        </is>
      </c>
      <c r="I28" s="8" t="n">
        <v>1.6</v>
      </c>
      <c r="J28" s="7" t="inlineStr">
        <is>
          <t>Balanced</t>
        </is>
      </c>
      <c r="K28" t="inlineStr">
        <is>
          <t>Balanced</t>
        </is>
      </c>
      <c r="L28" s="8" t="n">
        <v>45.7</v>
      </c>
      <c r="M28" s="8" t="n">
        <v>1</v>
      </c>
      <c r="N28" s="8" t="inlineStr"/>
      <c r="O28" s="8" t="inlineStr">
        <is>
          <t>—</t>
        </is>
      </c>
    </row>
    <row r="29">
      <c r="A29" s="6" t="inlineStr">
        <is>
          <t>Djibouti</t>
        </is>
      </c>
      <c r="B29" s="6" t="inlineStr">
        <is>
          <t>East Africa</t>
        </is>
      </c>
      <c r="C29" s="6" t="n">
        <v>42.4</v>
      </c>
      <c r="D29" s="6" t="n">
        <v>48.7</v>
      </c>
      <c r="E29" s="6" t="n">
        <v>44.2</v>
      </c>
      <c r="F29" s="6" t="n">
        <v>91.09999999999999</v>
      </c>
      <c r="G29" s="13" t="inlineStr">
        <is>
          <t>Phase 2</t>
        </is>
      </c>
      <c r="H29" s="6" t="inlineStr">
        <is>
          <t>Integration Establishing</t>
        </is>
      </c>
      <c r="I29" s="6" t="n">
        <v>6.3</v>
      </c>
      <c r="J29" s="7" t="inlineStr">
        <is>
          <t>Balanced</t>
        </is>
      </c>
      <c r="K29" t="inlineStr">
        <is>
          <t>Balanced</t>
        </is>
      </c>
      <c r="L29" s="6" t="n">
        <v>45.6</v>
      </c>
      <c r="M29" s="6" t="n">
        <v>1</v>
      </c>
      <c r="N29" s="6" t="inlineStr">
        <is>
          <t>Rolling Avg</t>
        </is>
      </c>
      <c r="O29" s="6" t="inlineStr">
        <is>
          <t>—</t>
        </is>
      </c>
    </row>
    <row r="30">
      <c r="A30" s="8" t="inlineStr">
        <is>
          <t>Togo</t>
        </is>
      </c>
      <c r="B30" s="8" t="inlineStr">
        <is>
          <t>West Africa</t>
        </is>
      </c>
      <c r="C30" s="8" t="n">
        <v>39.6</v>
      </c>
      <c r="D30" s="8" t="n">
        <v>47.7</v>
      </c>
      <c r="E30" s="8" t="n">
        <v>43.6</v>
      </c>
      <c r="F30" s="8" t="n">
        <v>87.3</v>
      </c>
      <c r="G30" s="13" t="inlineStr">
        <is>
          <t>Phase 2</t>
        </is>
      </c>
      <c r="H30" s="8" t="inlineStr">
        <is>
          <t>Integration Establishing</t>
        </is>
      </c>
      <c r="I30" s="8" t="n">
        <v>8.1</v>
      </c>
      <c r="J30" s="7" t="inlineStr">
        <is>
          <t>Balanced</t>
        </is>
      </c>
      <c r="K30" t="inlineStr">
        <is>
          <t>Balanced</t>
        </is>
      </c>
      <c r="L30" s="8" t="n">
        <v>43.6</v>
      </c>
      <c r="M30" s="8" t="n">
        <v>0</v>
      </c>
      <c r="N30" s="8" t="inlineStr">
        <is>
          <t>[Flag M — CFA]</t>
        </is>
      </c>
      <c r="O30" s="8" t="inlineStr">
        <is>
          <t>—</t>
        </is>
      </c>
    </row>
    <row r="31">
      <c r="A31" s="6" t="inlineStr">
        <is>
          <t>Mozambique</t>
        </is>
      </c>
      <c r="B31" s="6" t="inlineStr">
        <is>
          <t>Southern Africa</t>
        </is>
      </c>
      <c r="C31" s="6" t="n">
        <v>41.4</v>
      </c>
      <c r="D31" s="6" t="n">
        <v>46.9</v>
      </c>
      <c r="E31" s="6" t="n">
        <v>42.9</v>
      </c>
      <c r="F31" s="6" t="n">
        <v>88.3</v>
      </c>
      <c r="G31" s="13" t="inlineStr">
        <is>
          <t>Phase 2</t>
        </is>
      </c>
      <c r="H31" s="6" t="inlineStr">
        <is>
          <t>Integration Establishing</t>
        </is>
      </c>
      <c r="I31" s="6" t="n">
        <v>5.5</v>
      </c>
      <c r="J31" s="7" t="inlineStr">
        <is>
          <t>Balanced</t>
        </is>
      </c>
      <c r="K31" t="inlineStr">
        <is>
          <t>Balanced</t>
        </is>
      </c>
      <c r="L31" s="6" t="n">
        <v>44.2</v>
      </c>
      <c r="M31" s="6" t="n">
        <v>1</v>
      </c>
      <c r="N31" s="6" t="inlineStr"/>
      <c r="O31" s="6" t="inlineStr">
        <is>
          <t>—</t>
        </is>
      </c>
    </row>
    <row r="32">
      <c r="A32" s="8" t="inlineStr">
        <is>
          <t>Madagascar</t>
        </is>
      </c>
      <c r="B32" s="8" t="inlineStr">
        <is>
          <t>Southern Africa</t>
        </is>
      </c>
      <c r="C32" s="8" t="n">
        <v>41.4</v>
      </c>
      <c r="D32" s="8" t="n">
        <v>45.2</v>
      </c>
      <c r="E32" s="8" t="n">
        <v>42</v>
      </c>
      <c r="F32" s="8" t="n">
        <v>86.59999999999999</v>
      </c>
      <c r="G32" s="13" t="inlineStr">
        <is>
          <t>Phase 2</t>
        </is>
      </c>
      <c r="H32" s="8" t="inlineStr">
        <is>
          <t>Integration Establishing</t>
        </is>
      </c>
      <c r="I32" s="8" t="n">
        <v>3.8</v>
      </c>
      <c r="J32" s="7" t="inlineStr">
        <is>
          <t>Balanced</t>
        </is>
      </c>
      <c r="K32" t="inlineStr">
        <is>
          <t>Balanced</t>
        </is>
      </c>
      <c r="L32" s="8" t="n">
        <v>43.3</v>
      </c>
      <c r="M32" s="8" t="n">
        <v>1</v>
      </c>
      <c r="N32" s="8" t="inlineStr"/>
      <c r="O32" s="8" t="inlineStr">
        <is>
          <t>—</t>
        </is>
      </c>
    </row>
    <row r="33">
      <c r="A33" s="6" t="inlineStr">
        <is>
          <t>Eswatini</t>
        </is>
      </c>
      <c r="B33" s="6" t="inlineStr">
        <is>
          <t>Southern Africa</t>
        </is>
      </c>
      <c r="C33" s="6" t="n">
        <v>43</v>
      </c>
      <c r="D33" s="6" t="n">
        <v>42.4</v>
      </c>
      <c r="E33" s="6" t="n">
        <v>41.4</v>
      </c>
      <c r="F33" s="6" t="n">
        <v>85.40000000000001</v>
      </c>
      <c r="G33" s="13" t="inlineStr">
        <is>
          <t>Phase 2</t>
        </is>
      </c>
      <c r="H33" s="6" t="inlineStr">
        <is>
          <t>Integration Establishing</t>
        </is>
      </c>
      <c r="I33" s="6" t="n">
        <v>0.6</v>
      </c>
      <c r="J33" s="7" t="inlineStr">
        <is>
          <t>Balanced</t>
        </is>
      </c>
      <c r="K33" t="inlineStr">
        <is>
          <t>Balanced</t>
        </is>
      </c>
      <c r="L33" s="6" t="n">
        <v>42.7</v>
      </c>
      <c r="M33" s="6" t="n">
        <v>1</v>
      </c>
      <c r="N33" s="6" t="inlineStr">
        <is>
          <t>Rolling Avg</t>
        </is>
      </c>
      <c r="O33" s="6" t="inlineStr">
        <is>
          <t>—</t>
        </is>
      </c>
    </row>
    <row r="34">
      <c r="A34" s="8" t="inlineStr">
        <is>
          <t>Lesotho</t>
        </is>
      </c>
      <c r="B34" s="8" t="inlineStr">
        <is>
          <t>Southern Africa</t>
        </is>
      </c>
      <c r="C34" s="8" t="n">
        <v>39.7</v>
      </c>
      <c r="D34" s="8" t="n">
        <v>45.4</v>
      </c>
      <c r="E34" s="8" t="n">
        <v>41.3</v>
      </c>
      <c r="F34" s="8" t="n">
        <v>85.09999999999999</v>
      </c>
      <c r="G34" s="13" t="inlineStr">
        <is>
          <t>Phase 2</t>
        </is>
      </c>
      <c r="H34" s="8" t="inlineStr">
        <is>
          <t>Integration Establishing</t>
        </is>
      </c>
      <c r="I34" s="8" t="n">
        <v>5.7</v>
      </c>
      <c r="J34" s="7" t="inlineStr">
        <is>
          <t>Balanced</t>
        </is>
      </c>
      <c r="K34" t="inlineStr">
        <is>
          <t>Balanced</t>
        </is>
      </c>
      <c r="L34" s="8" t="n">
        <v>42.6</v>
      </c>
      <c r="M34" s="8" t="n">
        <v>1</v>
      </c>
      <c r="N34" s="8" t="inlineStr"/>
      <c r="O34" s="8" t="inlineStr">
        <is>
          <t>—</t>
        </is>
      </c>
    </row>
    <row r="35">
      <c r="A35" s="6" t="inlineStr">
        <is>
          <t>Zimbabwe</t>
        </is>
      </c>
      <c r="B35" s="6" t="inlineStr">
        <is>
          <t>Southern Africa</t>
        </is>
      </c>
      <c r="C35" s="6" t="n">
        <v>39.6</v>
      </c>
      <c r="D35" s="6" t="n">
        <v>45.4</v>
      </c>
      <c r="E35" s="6" t="n">
        <v>41.2</v>
      </c>
      <c r="F35" s="6" t="n">
        <v>85</v>
      </c>
      <c r="G35" s="13" t="inlineStr">
        <is>
          <t>Phase 2</t>
        </is>
      </c>
      <c r="H35" s="6" t="inlineStr">
        <is>
          <t>Integration Establishing</t>
        </is>
      </c>
      <c r="I35" s="6" t="n">
        <v>5.8</v>
      </c>
      <c r="J35" s="7" t="inlineStr">
        <is>
          <t>Balanced</t>
        </is>
      </c>
      <c r="K35" t="inlineStr">
        <is>
          <t>Balanced</t>
        </is>
      </c>
      <c r="L35" s="6" t="n">
        <v>42.5</v>
      </c>
      <c r="M35" s="6" t="n">
        <v>1</v>
      </c>
      <c r="N35" s="6" t="inlineStr"/>
      <c r="O35" s="6" t="inlineStr">
        <is>
          <t>—</t>
        </is>
      </c>
    </row>
    <row r="36">
      <c r="A36" s="8" t="inlineStr">
        <is>
          <t>Eritrea</t>
        </is>
      </c>
      <c r="B36" s="8" t="inlineStr">
        <is>
          <t>East Africa</t>
        </is>
      </c>
      <c r="C36" s="8" t="n">
        <v>45.1</v>
      </c>
      <c r="D36" s="8" t="n">
        <v>47</v>
      </c>
      <c r="E36" s="8" t="n">
        <v>39.1</v>
      </c>
      <c r="F36" s="8" t="n">
        <v>92.09999999999999</v>
      </c>
      <c r="G36" s="13" t="inlineStr">
        <is>
          <t>Phase 2</t>
        </is>
      </c>
      <c r="H36" s="8" t="inlineStr">
        <is>
          <t>Integration Establishing</t>
        </is>
      </c>
      <c r="I36" s="8" t="n">
        <v>1.9</v>
      </c>
      <c r="J36" s="7" t="inlineStr">
        <is>
          <t>Balanced</t>
        </is>
      </c>
      <c r="K36" t="inlineStr">
        <is>
          <t>Balanced</t>
        </is>
      </c>
      <c r="L36" s="8" t="n">
        <v>46.1</v>
      </c>
      <c r="M36" s="15" t="n">
        <v>3</v>
      </c>
      <c r="N36" s="8" t="inlineStr"/>
      <c r="O36" s="8" t="inlineStr">
        <is>
          <t>—</t>
        </is>
      </c>
    </row>
    <row r="37">
      <c r="A37" s="6" t="inlineStr">
        <is>
          <t>Congo</t>
        </is>
      </c>
      <c r="B37" s="6" t="inlineStr">
        <is>
          <t>Central Africa</t>
        </is>
      </c>
      <c r="C37" s="6" t="n">
        <v>39.3</v>
      </c>
      <c r="D37" s="6" t="n">
        <v>40.6</v>
      </c>
      <c r="E37" s="6" t="n">
        <v>38.8</v>
      </c>
      <c r="F37" s="6" t="n">
        <v>79.90000000000001</v>
      </c>
      <c r="G37" s="13" t="inlineStr">
        <is>
          <t>Phase 2</t>
        </is>
      </c>
      <c r="H37" s="6" t="inlineStr">
        <is>
          <t>Integration Establishing</t>
        </is>
      </c>
      <c r="I37" s="6" t="n">
        <v>1.3</v>
      </c>
      <c r="J37" s="7" t="inlineStr">
        <is>
          <t>Balanced</t>
        </is>
      </c>
      <c r="K37" t="inlineStr">
        <is>
          <t>Balanced</t>
        </is>
      </c>
      <c r="L37" s="6" t="n">
        <v>39.9</v>
      </c>
      <c r="M37" s="6" t="n">
        <v>1</v>
      </c>
      <c r="N37" s="6" t="inlineStr">
        <is>
          <t>[Flag M — CFA]</t>
        </is>
      </c>
      <c r="O37" s="6" t="inlineStr">
        <is>
          <t>—</t>
        </is>
      </c>
    </row>
    <row r="38">
      <c r="A38" s="8" t="inlineStr">
        <is>
          <t>Comoros</t>
        </is>
      </c>
      <c r="B38" s="8" t="inlineStr">
        <is>
          <t>East Africa</t>
        </is>
      </c>
      <c r="C38" s="8" t="n">
        <v>40.6</v>
      </c>
      <c r="D38" s="8" t="n">
        <v>42.8</v>
      </c>
      <c r="E38" s="8" t="n">
        <v>38.3</v>
      </c>
      <c r="F38" s="8" t="n">
        <v>83.40000000000001</v>
      </c>
      <c r="G38" s="13" t="inlineStr">
        <is>
          <t>Phase 2</t>
        </is>
      </c>
      <c r="H38" s="8" t="inlineStr">
        <is>
          <t>Integration Establishing</t>
        </is>
      </c>
      <c r="I38" s="8" t="n">
        <v>2.2</v>
      </c>
      <c r="J38" s="7" t="inlineStr">
        <is>
          <t>Balanced</t>
        </is>
      </c>
      <c r="K38" t="inlineStr">
        <is>
          <t>Balanced</t>
        </is>
      </c>
      <c r="L38" s="8" t="n">
        <v>41.7</v>
      </c>
      <c r="M38" s="11" t="n">
        <v>2</v>
      </c>
      <c r="N38" s="8" t="inlineStr">
        <is>
          <t>Rolling Avg</t>
        </is>
      </c>
      <c r="O38" s="8" t="inlineStr">
        <is>
          <t>—</t>
        </is>
      </c>
    </row>
    <row r="39">
      <c r="A39" s="6" t="inlineStr">
        <is>
          <t>Sierra Leone</t>
        </is>
      </c>
      <c r="B39" s="6" t="inlineStr">
        <is>
          <t>West Africa</t>
        </is>
      </c>
      <c r="C39" s="6" t="n">
        <v>36.2</v>
      </c>
      <c r="D39" s="6" t="n">
        <v>42</v>
      </c>
      <c r="E39" s="6" t="n">
        <v>37.9</v>
      </c>
      <c r="F39" s="6" t="n">
        <v>78.2</v>
      </c>
      <c r="G39" s="13" t="inlineStr">
        <is>
          <t>Phase 2</t>
        </is>
      </c>
      <c r="H39" s="6" t="inlineStr">
        <is>
          <t>Integration Establishing</t>
        </is>
      </c>
      <c r="I39" s="6" t="n">
        <v>5.8</v>
      </c>
      <c r="J39" s="7" t="inlineStr">
        <is>
          <t>Balanced</t>
        </is>
      </c>
      <c r="K39" t="inlineStr">
        <is>
          <t>Balanced</t>
        </is>
      </c>
      <c r="L39" s="6" t="n">
        <v>39.1</v>
      </c>
      <c r="M39" s="6" t="n">
        <v>1</v>
      </c>
      <c r="N39" s="6" t="inlineStr"/>
      <c r="O39" s="6" t="inlineStr">
        <is>
          <t>—</t>
        </is>
      </c>
    </row>
    <row r="40">
      <c r="A40" s="8" t="inlineStr">
        <is>
          <t>Equatorial Guinea</t>
        </is>
      </c>
      <c r="B40" s="8" t="inlineStr">
        <is>
          <t>Central Africa</t>
        </is>
      </c>
      <c r="C40" s="8" t="n">
        <v>40.7</v>
      </c>
      <c r="D40" s="8" t="n">
        <v>35.7</v>
      </c>
      <c r="E40" s="8" t="n">
        <v>37</v>
      </c>
      <c r="F40" s="8" t="n">
        <v>76.40000000000001</v>
      </c>
      <c r="G40" s="13" t="inlineStr">
        <is>
          <t>Phase 2</t>
        </is>
      </c>
      <c r="H40" s="8" t="inlineStr">
        <is>
          <t>Integration Establishing</t>
        </is>
      </c>
      <c r="I40" s="8" t="n">
        <v>5</v>
      </c>
      <c r="J40" s="7" t="inlineStr">
        <is>
          <t>Balanced</t>
        </is>
      </c>
      <c r="K40" t="inlineStr">
        <is>
          <t>Balanced</t>
        </is>
      </c>
      <c r="L40" s="8" t="n">
        <v>38.2</v>
      </c>
      <c r="M40" s="8" t="n">
        <v>1</v>
      </c>
      <c r="N40" s="8" t="inlineStr">
        <is>
          <t>[Flag M — CFA] Rolling Avg</t>
        </is>
      </c>
      <c r="O40" s="8" t="inlineStr">
        <is>
          <t>—</t>
        </is>
      </c>
    </row>
    <row r="41">
      <c r="A41" s="6" t="inlineStr">
        <is>
          <t>São Tomé</t>
        </is>
      </c>
      <c r="B41" s="6" t="inlineStr">
        <is>
          <t>Central Africa</t>
        </is>
      </c>
      <c r="C41" s="6" t="n">
        <v>36.9</v>
      </c>
      <c r="D41" s="6" t="n">
        <v>38.8</v>
      </c>
      <c r="E41" s="6" t="n">
        <v>36.7</v>
      </c>
      <c r="F41" s="6" t="n">
        <v>75.7</v>
      </c>
      <c r="G41" s="13" t="inlineStr">
        <is>
          <t>Phase 2</t>
        </is>
      </c>
      <c r="H41" s="6" t="inlineStr">
        <is>
          <t>Integration Establishing</t>
        </is>
      </c>
      <c r="I41" s="6" t="n">
        <v>1.9</v>
      </c>
      <c r="J41" s="7" t="inlineStr">
        <is>
          <t>Balanced</t>
        </is>
      </c>
      <c r="K41" t="inlineStr">
        <is>
          <t>Balanced</t>
        </is>
      </c>
      <c r="L41" s="6" t="n">
        <v>37.8</v>
      </c>
      <c r="M41" s="6" t="n">
        <v>1</v>
      </c>
      <c r="N41" s="6" t="inlineStr"/>
      <c r="O41" s="6" t="inlineStr">
        <is>
          <t>—</t>
        </is>
      </c>
    </row>
    <row r="42">
      <c r="A42" s="8" t="inlineStr">
        <is>
          <t>Sudan</t>
        </is>
      </c>
      <c r="B42" s="8" t="inlineStr">
        <is>
          <t>East Africa</t>
        </is>
      </c>
      <c r="C42" s="8" t="n">
        <v>40.6</v>
      </c>
      <c r="D42" s="8" t="n">
        <v>38.8</v>
      </c>
      <c r="E42" s="8" t="n">
        <v>36.5</v>
      </c>
      <c r="F42" s="8" t="n">
        <v>79.40000000000001</v>
      </c>
      <c r="G42" s="13" t="inlineStr">
        <is>
          <t>Phase 2</t>
        </is>
      </c>
      <c r="H42" s="8" t="inlineStr">
        <is>
          <t>Integration Establishing</t>
        </is>
      </c>
      <c r="I42" s="8" t="n">
        <v>1.8</v>
      </c>
      <c r="J42" s="7" t="inlineStr">
        <is>
          <t>Balanced</t>
        </is>
      </c>
      <c r="K42" t="inlineStr">
        <is>
          <t>Balanced</t>
        </is>
      </c>
      <c r="L42" s="8" t="n">
        <v>39.7</v>
      </c>
      <c r="M42" s="11" t="n">
        <v>2</v>
      </c>
      <c r="N42" s="8" t="inlineStr"/>
      <c r="O42" s="8" t="inlineStr">
        <is>
          <t>—</t>
        </is>
      </c>
    </row>
    <row r="43">
      <c r="A43" s="6" t="inlineStr">
        <is>
          <t>Liberia</t>
        </is>
      </c>
      <c r="B43" s="6" t="inlineStr">
        <is>
          <t>West Africa</t>
        </is>
      </c>
      <c r="C43" s="6" t="n">
        <v>34.5</v>
      </c>
      <c r="D43" s="6" t="n">
        <v>40.6</v>
      </c>
      <c r="E43" s="6" t="n">
        <v>36.5</v>
      </c>
      <c r="F43" s="6" t="n">
        <v>75.09999999999999</v>
      </c>
      <c r="G43" s="13" t="inlineStr">
        <is>
          <t>Phase 2</t>
        </is>
      </c>
      <c r="H43" s="6" t="inlineStr">
        <is>
          <t>Integration Establishing</t>
        </is>
      </c>
      <c r="I43" s="6" t="n">
        <v>6.1</v>
      </c>
      <c r="J43" s="7" t="inlineStr">
        <is>
          <t>Balanced</t>
        </is>
      </c>
      <c r="K43" t="inlineStr">
        <is>
          <t>Balanced</t>
        </is>
      </c>
      <c r="L43" s="6" t="n">
        <v>37.6</v>
      </c>
      <c r="M43" s="6" t="n">
        <v>1</v>
      </c>
      <c r="N43" s="6" t="inlineStr"/>
      <c r="O43" s="6" t="inlineStr">
        <is>
          <t>—</t>
        </is>
      </c>
    </row>
    <row r="44">
      <c r="A44" s="8" t="inlineStr">
        <is>
          <t>DR Congo</t>
        </is>
      </c>
      <c r="B44" s="8" t="inlineStr">
        <is>
          <t>Central Africa</t>
        </is>
      </c>
      <c r="C44" s="8" t="n">
        <v>37.7</v>
      </c>
      <c r="D44" s="8" t="n">
        <v>36.5</v>
      </c>
      <c r="E44" s="8" t="n">
        <v>36</v>
      </c>
      <c r="F44" s="8" t="n">
        <v>74.2</v>
      </c>
      <c r="G44" s="16" t="inlineStr">
        <is>
          <t>Phase 1</t>
        </is>
      </c>
      <c r="H44" s="8" t="inlineStr">
        <is>
          <t>Foundation Building</t>
        </is>
      </c>
      <c r="I44" s="8" t="n">
        <v>1.2</v>
      </c>
      <c r="J44" s="7" t="inlineStr">
        <is>
          <t>Balanced</t>
        </is>
      </c>
      <c r="K44" t="inlineStr">
        <is>
          <t>Balanced</t>
        </is>
      </c>
      <c r="L44" s="8" t="n">
        <v>37.1</v>
      </c>
      <c r="M44" s="8" t="n">
        <v>1</v>
      </c>
      <c r="N44" s="8" t="inlineStr"/>
      <c r="O44" s="8" t="inlineStr">
        <is>
          <t>—</t>
        </is>
      </c>
    </row>
    <row r="45">
      <c r="A45" s="6" t="inlineStr">
        <is>
          <t>Gambia</t>
        </is>
      </c>
      <c r="B45" s="6" t="inlineStr">
        <is>
          <t>West Africa</t>
        </is>
      </c>
      <c r="C45" s="6" t="n">
        <v>32.2</v>
      </c>
      <c r="D45" s="6" t="n">
        <v>39.2</v>
      </c>
      <c r="E45" s="6" t="n">
        <v>34.6</v>
      </c>
      <c r="F45" s="6" t="n">
        <v>71.40000000000001</v>
      </c>
      <c r="G45" s="16" t="inlineStr">
        <is>
          <t>Phase 1</t>
        </is>
      </c>
      <c r="H45" s="6" t="inlineStr">
        <is>
          <t>Foundation Building</t>
        </is>
      </c>
      <c r="I45" s="6" t="n">
        <v>7</v>
      </c>
      <c r="J45" s="7" t="inlineStr">
        <is>
          <t>Balanced</t>
        </is>
      </c>
      <c r="K45" t="inlineStr">
        <is>
          <t>Balanced</t>
        </is>
      </c>
      <c r="L45" s="6" t="n">
        <v>35.7</v>
      </c>
      <c r="M45" s="6" t="n">
        <v>1</v>
      </c>
      <c r="N45" s="6" t="inlineStr"/>
      <c r="O45" s="6" t="inlineStr">
        <is>
          <t>—</t>
        </is>
      </c>
    </row>
    <row r="46">
      <c r="A46" s="8" t="inlineStr">
        <is>
          <t>Niger</t>
        </is>
      </c>
      <c r="B46" s="8" t="inlineStr">
        <is>
          <t>West Africa</t>
        </is>
      </c>
      <c r="C46" s="8" t="n">
        <v>35</v>
      </c>
      <c r="D46" s="8" t="n">
        <v>23.6</v>
      </c>
      <c r="E46" s="8" t="n">
        <v>28.4</v>
      </c>
      <c r="F46" s="8" t="n">
        <v>58.6</v>
      </c>
      <c r="G46" s="16" t="inlineStr">
        <is>
          <t>Phase 1</t>
        </is>
      </c>
      <c r="H46" s="8" t="inlineStr">
        <is>
          <t>Foundation Building</t>
        </is>
      </c>
      <c r="I46" s="8" t="n">
        <v>11.4</v>
      </c>
      <c r="J46" s="7" t="inlineStr">
        <is>
          <t>Watch</t>
        </is>
      </c>
      <c r="K46" t="inlineStr">
        <is>
          <t>Watch</t>
        </is>
      </c>
      <c r="L46" s="8" t="n">
        <v>29.3</v>
      </c>
      <c r="M46" s="11" t="n">
        <v>2</v>
      </c>
      <c r="N46" s="8" t="inlineStr">
        <is>
          <t>[1-AES] [Flag M — CFA] / AU Suspended Aug 2023</t>
        </is>
      </c>
      <c r="O46" s="8" t="inlineStr">
        <is>
          <t>—</t>
        </is>
      </c>
    </row>
    <row r="47">
      <c r="A47" s="6" t="inlineStr">
        <is>
          <t>Guinea-Bissau</t>
        </is>
      </c>
      <c r="B47" s="6" t="inlineStr">
        <is>
          <t>West Africa</t>
        </is>
      </c>
      <c r="C47" s="6" t="n">
        <v>36.3</v>
      </c>
      <c r="D47" s="6" t="n">
        <v>38.1</v>
      </c>
      <c r="E47" s="6" t="n">
        <v>34.3</v>
      </c>
      <c r="F47" s="6" t="n">
        <v>74.40000000000001</v>
      </c>
      <c r="G47" s="16" t="inlineStr">
        <is>
          <t>Phase 1</t>
        </is>
      </c>
      <c r="H47" s="6" t="inlineStr">
        <is>
          <t>Foundation Building</t>
        </is>
      </c>
      <c r="I47" s="6" t="n">
        <v>1.8</v>
      </c>
      <c r="J47" s="7" t="inlineStr">
        <is>
          <t>Balanced</t>
        </is>
      </c>
      <c r="K47" t="inlineStr">
        <is>
          <t>Balanced</t>
        </is>
      </c>
      <c r="L47" s="6" t="n">
        <v>37.2</v>
      </c>
      <c r="M47" s="11" t="n">
        <v>2</v>
      </c>
      <c r="N47" s="6" t="inlineStr">
        <is>
          <t>[Flag M — CFA]</t>
        </is>
      </c>
      <c r="O47" s="6" t="inlineStr">
        <is>
          <t>—</t>
        </is>
      </c>
    </row>
    <row r="48">
      <c r="A48" s="8" t="inlineStr">
        <is>
          <t>Burundi</t>
        </is>
      </c>
      <c r="B48" s="8" t="inlineStr">
        <is>
          <t>East Africa</t>
        </is>
      </c>
      <c r="C48" s="8" t="n">
        <v>34.5</v>
      </c>
      <c r="D48" s="8" t="n">
        <v>35.3</v>
      </c>
      <c r="E48" s="8" t="n">
        <v>33.8</v>
      </c>
      <c r="F48" s="8" t="n">
        <v>69.8</v>
      </c>
      <c r="G48" s="16" t="inlineStr">
        <is>
          <t>Phase 1</t>
        </is>
      </c>
      <c r="H48" s="8" t="inlineStr">
        <is>
          <t>Foundation Building</t>
        </is>
      </c>
      <c r="I48" s="8" t="n">
        <v>0.8</v>
      </c>
      <c r="J48" s="7" t="inlineStr">
        <is>
          <t>Balanced</t>
        </is>
      </c>
      <c r="K48" t="inlineStr">
        <is>
          <t>Balanced</t>
        </is>
      </c>
      <c r="L48" s="8" t="n">
        <v>34.9</v>
      </c>
      <c r="M48" s="8" t="n">
        <v>1</v>
      </c>
      <c r="N48" s="8" t="inlineStr"/>
      <c r="O48" s="8" t="inlineStr">
        <is>
          <t>—</t>
        </is>
      </c>
    </row>
    <row r="49">
      <c r="A49" s="6" t="inlineStr">
        <is>
          <t>South Sudan</t>
        </is>
      </c>
      <c r="B49" s="6" t="inlineStr">
        <is>
          <t>East Africa</t>
        </is>
      </c>
      <c r="C49" s="6" t="n">
        <v>36.7</v>
      </c>
      <c r="D49" s="6" t="n">
        <v>36.4</v>
      </c>
      <c r="E49" s="6" t="n">
        <v>33.6</v>
      </c>
      <c r="F49" s="6" t="n">
        <v>73.09999999999999</v>
      </c>
      <c r="G49" s="16" t="inlineStr">
        <is>
          <t>Phase 1</t>
        </is>
      </c>
      <c r="H49" s="6" t="inlineStr">
        <is>
          <t>Foundation Building</t>
        </is>
      </c>
      <c r="I49" s="6" t="n">
        <v>0.3</v>
      </c>
      <c r="J49" s="7" t="inlineStr">
        <is>
          <t>Balanced</t>
        </is>
      </c>
      <c r="K49" t="inlineStr">
        <is>
          <t>Balanced</t>
        </is>
      </c>
      <c r="L49" s="6" t="n">
        <v>36.6</v>
      </c>
      <c r="M49" s="11" t="n">
        <v>2</v>
      </c>
      <c r="N49" s="6" t="inlineStr"/>
      <c r="O49" s="6" t="inlineStr">
        <is>
          <t>—</t>
        </is>
      </c>
    </row>
    <row r="50">
      <c r="A50" s="8" t="inlineStr">
        <is>
          <t>Guinea</t>
        </is>
      </c>
      <c r="B50" s="8" t="inlineStr">
        <is>
          <t>West Africa</t>
        </is>
      </c>
      <c r="C50" s="8" t="n">
        <v>35.9</v>
      </c>
      <c r="D50" s="8" t="n">
        <v>32.4</v>
      </c>
      <c r="E50" s="8" t="n">
        <v>33.1</v>
      </c>
      <c r="F50" s="8" t="n">
        <v>68.3</v>
      </c>
      <c r="G50" s="16" t="inlineStr">
        <is>
          <t>Phase 1</t>
        </is>
      </c>
      <c r="H50" s="8" t="inlineStr">
        <is>
          <t>Foundation Building</t>
        </is>
      </c>
      <c r="I50" s="8" t="n">
        <v>3.5</v>
      </c>
      <c r="J50" s="7" t="inlineStr">
        <is>
          <t>Balanced</t>
        </is>
      </c>
      <c r="K50" t="inlineStr">
        <is>
          <t>Balanced</t>
        </is>
      </c>
      <c r="L50" s="8" t="n">
        <v>34.2</v>
      </c>
      <c r="M50" s="8" t="n">
        <v>1</v>
      </c>
      <c r="N50" s="8" t="inlineStr"/>
      <c r="O50" s="8" t="inlineStr">
        <is>
          <t>—</t>
        </is>
      </c>
    </row>
    <row r="51">
      <c r="A51" s="6" t="inlineStr">
        <is>
          <t>Somalia</t>
        </is>
      </c>
      <c r="B51" s="6" t="inlineStr">
        <is>
          <t>East Africa</t>
        </is>
      </c>
      <c r="C51" s="6" t="n">
        <v>36.7</v>
      </c>
      <c r="D51" s="6" t="n">
        <v>34.8</v>
      </c>
      <c r="E51" s="6" t="n">
        <v>32.9</v>
      </c>
      <c r="F51" s="6" t="n">
        <v>71.5</v>
      </c>
      <c r="G51" s="16" t="inlineStr">
        <is>
          <t>Phase 1</t>
        </is>
      </c>
      <c r="H51" s="6" t="inlineStr">
        <is>
          <t>Foundation Building</t>
        </is>
      </c>
      <c r="I51" s="6" t="n">
        <v>1.9</v>
      </c>
      <c r="J51" s="7" t="inlineStr">
        <is>
          <t>Balanced</t>
        </is>
      </c>
      <c r="K51" t="inlineStr">
        <is>
          <t>Balanced</t>
        </is>
      </c>
      <c r="L51" s="6" t="n">
        <v>35.8</v>
      </c>
      <c r="M51" s="11" t="n">
        <v>2</v>
      </c>
      <c r="N51" s="6" t="inlineStr"/>
      <c r="O51" s="6" t="inlineStr">
        <is>
          <t>—</t>
        </is>
      </c>
    </row>
    <row r="52">
      <c r="A52" s="8" t="inlineStr">
        <is>
          <t>CAR</t>
        </is>
      </c>
      <c r="B52" s="8" t="inlineStr">
        <is>
          <t>Central Africa</t>
        </is>
      </c>
      <c r="C52" s="8" t="n">
        <v>34.1</v>
      </c>
      <c r="D52" s="8" t="n">
        <v>36.1</v>
      </c>
      <c r="E52" s="8" t="n">
        <v>32.3</v>
      </c>
      <c r="F52" s="8" t="n">
        <v>70.2</v>
      </c>
      <c r="G52" s="16" t="inlineStr">
        <is>
          <t>Phase 1</t>
        </is>
      </c>
      <c r="H52" s="8" t="inlineStr">
        <is>
          <t>Foundation Building</t>
        </is>
      </c>
      <c r="I52" s="8" t="n">
        <v>2</v>
      </c>
      <c r="J52" s="7" t="inlineStr">
        <is>
          <t>Balanced</t>
        </is>
      </c>
      <c r="K52" t="inlineStr">
        <is>
          <t>Balanced</t>
        </is>
      </c>
      <c r="L52" s="8" t="n">
        <v>35.1</v>
      </c>
      <c r="M52" s="11" t="n">
        <v>2</v>
      </c>
      <c r="N52" s="8" t="inlineStr">
        <is>
          <t>[Flag M — CFA]</t>
        </is>
      </c>
      <c r="O52" s="8" t="inlineStr">
        <is>
          <t>—</t>
        </is>
      </c>
    </row>
    <row r="53">
      <c r="A53" s="6" t="inlineStr">
        <is>
          <t>Chad</t>
        </is>
      </c>
      <c r="B53" s="6" t="inlineStr">
        <is>
          <t>Central Africa</t>
        </is>
      </c>
      <c r="C53" s="6" t="n">
        <v>35.3</v>
      </c>
      <c r="D53" s="6" t="n">
        <v>34.9</v>
      </c>
      <c r="E53" s="6" t="n">
        <v>32.3</v>
      </c>
      <c r="F53" s="6" t="n">
        <v>70.2</v>
      </c>
      <c r="G53" s="16" t="inlineStr">
        <is>
          <t>Phase 1</t>
        </is>
      </c>
      <c r="H53" s="6" t="inlineStr">
        <is>
          <t>Foundation Building</t>
        </is>
      </c>
      <c r="I53" s="6" t="n">
        <v>0.4</v>
      </c>
      <c r="J53" s="7" t="inlineStr">
        <is>
          <t>Balanced</t>
        </is>
      </c>
      <c r="K53" t="inlineStr">
        <is>
          <t>Balanced</t>
        </is>
      </c>
      <c r="L53" s="6" t="n">
        <v>35.1</v>
      </c>
      <c r="M53" s="11" t="n">
        <v>2</v>
      </c>
      <c r="N53" s="6" t="inlineStr">
        <is>
          <t>[Flag M — CFA]</t>
        </is>
      </c>
      <c r="O53" s="6" t="inlineStr">
        <is>
          <t>—</t>
        </is>
      </c>
    </row>
    <row r="54">
      <c r="A54" s="8" t="inlineStr">
        <is>
          <t>Mali</t>
        </is>
      </c>
      <c r="B54" s="8" t="inlineStr">
        <is>
          <t>West Africa</t>
        </is>
      </c>
      <c r="C54" s="8" t="n">
        <v>33.6</v>
      </c>
      <c r="D54" s="8" t="n">
        <v>28.6</v>
      </c>
      <c r="E54" s="8" t="n">
        <v>30.2</v>
      </c>
      <c r="F54" s="8" t="n">
        <v>62.2</v>
      </c>
      <c r="G54" s="16" t="inlineStr">
        <is>
          <t>Phase 1</t>
        </is>
      </c>
      <c r="H54" s="8" t="inlineStr">
        <is>
          <t>Foundation Building</t>
        </is>
      </c>
      <c r="I54" s="8" t="n">
        <v>5</v>
      </c>
      <c r="J54" s="7" t="inlineStr">
        <is>
          <t>Balanced</t>
        </is>
      </c>
      <c r="K54" t="inlineStr">
        <is>
          <t>Balanced</t>
        </is>
      </c>
      <c r="L54" s="8" t="n">
        <v>31.1</v>
      </c>
      <c r="M54" s="8" t="n">
        <v>1</v>
      </c>
      <c r="N54" s="8" t="inlineStr">
        <is>
          <t>[1-AES] [Flag M — CFA]</t>
        </is>
      </c>
      <c r="O54" s="8" t="inlineStr">
        <is>
          <t>—</t>
        </is>
      </c>
    </row>
    <row r="55">
      <c r="A55" s="6" t="inlineStr">
        <is>
          <t>Burkina Faso</t>
        </is>
      </c>
      <c r="B55" s="6" t="inlineStr">
        <is>
          <t>West Africa</t>
        </is>
      </c>
      <c r="C55" s="6" t="n">
        <v>32</v>
      </c>
      <c r="D55" s="6" t="n">
        <v>26.8</v>
      </c>
      <c r="E55" s="6" t="n">
        <v>28.5</v>
      </c>
      <c r="F55" s="6" t="n">
        <v>58.8</v>
      </c>
      <c r="G55" s="16" t="inlineStr">
        <is>
          <t>Phase 1</t>
        </is>
      </c>
      <c r="H55" s="6" t="inlineStr">
        <is>
          <t>Foundation Building</t>
        </is>
      </c>
      <c r="I55" s="6" t="n">
        <v>5.2</v>
      </c>
      <c r="J55" s="7" t="inlineStr">
        <is>
          <t>Balanced</t>
        </is>
      </c>
      <c r="K55" t="inlineStr">
        <is>
          <t>Balanced</t>
        </is>
      </c>
      <c r="L55" s="6" t="n">
        <v>29.4</v>
      </c>
      <c r="M55" s="6" t="n">
        <v>1</v>
      </c>
      <c r="N55" s="6" t="inlineStr">
        <is>
          <t>[1-AES] [Flag M — CFA]</t>
        </is>
      </c>
      <c r="O55" s="6" t="inlineStr">
        <is>
          <t>—</t>
        </is>
      </c>
    </row>
    <row r="56">
      <c r="A56" s="27" t="inlineStr">
        <is>
          <t>SADR/Western Sahara</t>
        </is>
      </c>
      <c r="B56" s="27" t="inlineStr">
        <is>
          <t>North Africa</t>
        </is>
      </c>
      <c r="C56" s="27" t="n"/>
      <c r="D56" s="27" t="n"/>
      <c r="E56" s="27" t="n"/>
      <c r="F56" s="27" t="n"/>
      <c r="G56" s="27" t="inlineStr">
        <is>
          <t>Provisional</t>
        </is>
      </c>
      <c r="H56" s="27" t="inlineStr">
        <is>
          <t>Provisional — Data Pending</t>
        </is>
      </c>
      <c r="I56" s="27" t="n"/>
      <c r="J56" s="27" t="inlineStr">
        <is>
          <t>N/A</t>
        </is>
      </c>
      <c r="K56" s="27" t="inlineStr">
        <is>
          <t>N/A</t>
        </is>
      </c>
      <c r="L56" s="27" t="n"/>
      <c r="M56" s="27" t="n">
        <v>3</v>
      </c>
      <c r="N56" s="27" t="inlineStr">
        <is>
          <t>[Flag 3/Provisional] AU Member — Tracking Pending</t>
        </is>
      </c>
      <c r="O56" s="27" t="inlineStr">
        <is>
          <t>—</t>
        </is>
      </c>
    </row>
    <row r="57"/>
    <row r="58"/>
    <row r="59"/>
    <row r="60"/>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WEIGHT STRESS-TEST — 9 Pillar-Weight Scenarios | v5</t>
        </is>
      </c>
    </row>
    <row r="2" ht="36" customHeight="1">
      <c r="A2" s="5" t="inlineStr">
        <is>
          <t>Country</t>
        </is>
      </c>
      <c r="B2" s="5" t="inlineStr">
        <is>
          <t>Region</t>
        </is>
      </c>
      <c r="C2" s="5" t="inlineStr">
        <is>
          <t>Baseline
Score</t>
        </is>
      </c>
      <c r="D2" s="5" t="inlineStr">
        <is>
          <t>Phase</t>
        </is>
      </c>
      <c r="E2" s="5" t="inlineStr">
        <is>
          <t>Baseline (50/50)</t>
        </is>
      </c>
      <c r="F2" s="5" t="inlineStr">
        <is>
          <t>Econ-Heavy (60/40)</t>
        </is>
      </c>
      <c r="G2" s="5" t="inlineStr">
        <is>
          <t>Pol-Heavy (40/60)</t>
        </is>
      </c>
      <c r="H2" s="5" t="inlineStr">
        <is>
          <t>Monetary-Led</t>
        </is>
      </c>
      <c r="I2" s="5" t="inlineStr">
        <is>
          <t>Trade-Led</t>
        </is>
      </c>
      <c r="J2" s="5" t="inlineStr">
        <is>
          <t>Production-Led</t>
        </is>
      </c>
      <c r="K2" s="5" t="inlineStr">
        <is>
          <t>Governance-Led</t>
        </is>
      </c>
      <c r="L2" s="5" t="inlineStr">
        <is>
          <t>Engagement-Led</t>
        </is>
      </c>
      <c r="M2" s="5" t="inlineStr">
        <is>
          <t>Equal (1/6 each)</t>
        </is>
      </c>
      <c r="N2" s="5" t="inlineStr">
        <is>
          <t>Swing
Range</t>
        </is>
      </c>
      <c r="O2" s="5" t="inlineStr">
        <is>
          <t>Robust?</t>
        </is>
      </c>
    </row>
    <row r="3">
      <c r="A3" s="6" t="inlineStr">
        <is>
          <t>Botswana</t>
        </is>
      </c>
      <c r="B3" s="6" t="inlineStr">
        <is>
          <t>Southern Africa</t>
        </is>
      </c>
      <c r="C3" s="6" t="n">
        <v>85.90000000000001</v>
      </c>
      <c r="D3" s="6" t="inlineStr">
        <is>
          <t>Phase 4</t>
        </is>
      </c>
      <c r="E3" s="6" t="n">
        <v>85.8</v>
      </c>
      <c r="F3" s="6" t="n">
        <v>85.59999999999999</v>
      </c>
      <c r="G3" s="6" t="n">
        <v>86.09999999999999</v>
      </c>
      <c r="H3" s="6" t="n">
        <v>87</v>
      </c>
      <c r="I3" s="6" t="n">
        <v>84.40000000000001</v>
      </c>
      <c r="J3" s="6" t="n">
        <v>85.7</v>
      </c>
      <c r="K3" s="6" t="n">
        <v>85.59999999999999</v>
      </c>
      <c r="L3" s="6" t="n">
        <v>86</v>
      </c>
      <c r="M3" s="6" t="n">
        <v>86</v>
      </c>
      <c r="N3" s="6" t="n">
        <v>2.6</v>
      </c>
      <c r="O3" s="6" t="inlineStr">
        <is>
          <t>YES</t>
        </is>
      </c>
    </row>
    <row r="4">
      <c r="A4" s="8" t="inlineStr">
        <is>
          <t>Mauritius</t>
        </is>
      </c>
      <c r="B4" s="8" t="inlineStr">
        <is>
          <t>East Africa</t>
        </is>
      </c>
      <c r="C4" s="8" t="n">
        <v>85.5</v>
      </c>
      <c r="D4" s="8" t="inlineStr">
        <is>
          <t>Phase 4</t>
        </is>
      </c>
      <c r="E4" s="8" t="n">
        <v>85.40000000000001</v>
      </c>
      <c r="F4" s="8" t="n">
        <v>84.90000000000001</v>
      </c>
      <c r="G4" s="8" t="n">
        <v>86</v>
      </c>
      <c r="H4" s="8" t="n">
        <v>85.8</v>
      </c>
      <c r="I4" s="8" t="n">
        <v>85.2</v>
      </c>
      <c r="J4" s="8" t="n">
        <v>85.2</v>
      </c>
      <c r="K4" s="8" t="n">
        <v>85.40000000000001</v>
      </c>
      <c r="L4" s="8" t="n">
        <v>85.40000000000001</v>
      </c>
      <c r="M4" s="8" t="n">
        <v>85.5</v>
      </c>
      <c r="N4" s="8" t="n">
        <v>1</v>
      </c>
      <c r="O4" s="8" t="inlineStr">
        <is>
          <t>YES</t>
        </is>
      </c>
    </row>
    <row r="5">
      <c r="A5" s="6" t="inlineStr">
        <is>
          <t>South Africa</t>
        </is>
      </c>
      <c r="B5" s="6" t="inlineStr">
        <is>
          <t>Southern Africa</t>
        </is>
      </c>
      <c r="C5" s="6" t="n">
        <v>83.3</v>
      </c>
      <c r="D5" s="6" t="inlineStr">
        <is>
          <t>Phase 4</t>
        </is>
      </c>
      <c r="E5" s="6" t="n">
        <v>83.3</v>
      </c>
      <c r="F5" s="6" t="n">
        <v>82.40000000000001</v>
      </c>
      <c r="G5" s="6" t="n">
        <v>84.2</v>
      </c>
      <c r="H5" s="6" t="n">
        <v>84.3</v>
      </c>
      <c r="I5" s="6" t="n">
        <v>81.90000000000001</v>
      </c>
      <c r="J5" s="6" t="n">
        <v>83.40000000000001</v>
      </c>
      <c r="K5" s="6" t="n">
        <v>83</v>
      </c>
      <c r="L5" s="6" t="n">
        <v>83.59999999999999</v>
      </c>
      <c r="M5" s="6" t="n">
        <v>83.40000000000001</v>
      </c>
      <c r="N5" s="6" t="n">
        <v>2.4</v>
      </c>
      <c r="O5" s="6" t="inlineStr">
        <is>
          <t>YES</t>
        </is>
      </c>
    </row>
    <row r="6">
      <c r="A6" s="8" t="inlineStr">
        <is>
          <t>Kenya</t>
        </is>
      </c>
      <c r="B6" s="8" t="inlineStr">
        <is>
          <t>East Africa</t>
        </is>
      </c>
      <c r="C6" s="8" t="n">
        <v>69.40000000000001</v>
      </c>
      <c r="D6" s="8" t="inlineStr">
        <is>
          <t>Phase 3C</t>
        </is>
      </c>
      <c r="E6" s="8" t="n">
        <v>69.40000000000001</v>
      </c>
      <c r="F6" s="8" t="n">
        <v>68.90000000000001</v>
      </c>
      <c r="G6" s="8" t="n">
        <v>70</v>
      </c>
      <c r="H6" s="8" t="n">
        <v>68.59999999999999</v>
      </c>
      <c r="I6" s="8" t="n">
        <v>70.59999999999999</v>
      </c>
      <c r="J6" s="8" t="n">
        <v>69.3</v>
      </c>
      <c r="K6" s="8" t="n">
        <v>69.7</v>
      </c>
      <c r="L6" s="8" t="n">
        <v>69.40000000000001</v>
      </c>
      <c r="M6" s="8" t="n">
        <v>69.3</v>
      </c>
      <c r="N6" s="8" t="n">
        <v>1.9</v>
      </c>
      <c r="O6" s="8" t="inlineStr">
        <is>
          <t>YES</t>
        </is>
      </c>
    </row>
    <row r="7">
      <c r="A7" s="6" t="inlineStr">
        <is>
          <t>Rwanda</t>
        </is>
      </c>
      <c r="B7" s="6" t="inlineStr">
        <is>
          <t>East Africa</t>
        </is>
      </c>
      <c r="C7" s="6" t="n">
        <v>67</v>
      </c>
      <c r="D7" s="6" t="inlineStr">
        <is>
          <t>Phase 3B</t>
        </is>
      </c>
      <c r="E7" s="6" t="n">
        <v>67</v>
      </c>
      <c r="F7" s="6" t="n">
        <v>65</v>
      </c>
      <c r="G7" s="6" t="n">
        <v>68.90000000000001</v>
      </c>
      <c r="H7" s="6" t="n">
        <v>64.59999999999999</v>
      </c>
      <c r="I7" s="6" t="n">
        <v>70</v>
      </c>
      <c r="J7" s="6" t="n">
        <v>67.09999999999999</v>
      </c>
      <c r="K7" s="6" t="n">
        <v>65.90000000000001</v>
      </c>
      <c r="L7" s="6" t="n">
        <v>68</v>
      </c>
      <c r="M7" s="6" t="n">
        <v>66.2</v>
      </c>
      <c r="N7" s="6" t="n">
        <v>5.5</v>
      </c>
      <c r="O7" s="11" t="inlineStr">
        <is>
          <t>CAUTION</t>
        </is>
      </c>
    </row>
    <row r="8">
      <c r="A8" s="8" t="inlineStr">
        <is>
          <t>Morocco</t>
        </is>
      </c>
      <c r="B8" s="8" t="inlineStr">
        <is>
          <t>North Africa</t>
        </is>
      </c>
      <c r="C8" s="8" t="n">
        <v>66.2</v>
      </c>
      <c r="D8" s="8" t="inlineStr">
        <is>
          <t>Phase 3C</t>
        </is>
      </c>
      <c r="E8" s="8" t="n">
        <v>66.2</v>
      </c>
      <c r="F8" s="8" t="n">
        <v>66.90000000000001</v>
      </c>
      <c r="G8" s="8" t="n">
        <v>65.5</v>
      </c>
      <c r="H8" s="8" t="n">
        <v>64.8</v>
      </c>
      <c r="I8" s="8" t="n">
        <v>67.59999999999999</v>
      </c>
      <c r="J8" s="8" t="n">
        <v>66.90000000000001</v>
      </c>
      <c r="K8" s="8" t="n">
        <v>65.8</v>
      </c>
      <c r="L8" s="8" t="n">
        <v>66.2</v>
      </c>
      <c r="M8" s="8" t="n">
        <v>66</v>
      </c>
      <c r="N8" s="8" t="n">
        <v>2.8</v>
      </c>
      <c r="O8" s="8" t="inlineStr">
        <is>
          <t>YES</t>
        </is>
      </c>
    </row>
    <row r="9">
      <c r="A9" s="6" t="inlineStr">
        <is>
          <t>Algeria</t>
        </is>
      </c>
      <c r="B9" s="6" t="inlineStr">
        <is>
          <t>North Africa</t>
        </is>
      </c>
      <c r="C9" s="6" t="n">
        <v>65</v>
      </c>
      <c r="D9" s="6" t="inlineStr">
        <is>
          <t>Phase 3A</t>
        </is>
      </c>
      <c r="E9" s="6" t="n">
        <v>65</v>
      </c>
      <c r="F9" s="6" t="n">
        <v>66.59999999999999</v>
      </c>
      <c r="G9" s="6" t="n">
        <v>63.3</v>
      </c>
      <c r="H9" s="6" t="n">
        <v>66.59999999999999</v>
      </c>
      <c r="I9" s="6" t="n">
        <v>63.7</v>
      </c>
      <c r="J9" s="6" t="n">
        <v>63.7</v>
      </c>
      <c r="K9" s="6" t="n">
        <v>65.59999999999999</v>
      </c>
      <c r="L9" s="6" t="n">
        <v>64.3</v>
      </c>
      <c r="M9" s="6" t="n">
        <v>65.5</v>
      </c>
      <c r="N9" s="6" t="n">
        <v>3.3</v>
      </c>
      <c r="O9" s="6" t="inlineStr">
        <is>
          <t>YES</t>
        </is>
      </c>
    </row>
    <row r="10">
      <c r="A10" s="8" t="inlineStr">
        <is>
          <t>Seychelles</t>
        </is>
      </c>
      <c r="B10" s="8" t="inlineStr">
        <is>
          <t>East Africa</t>
        </is>
      </c>
      <c r="C10" s="8" t="n">
        <v>63.6</v>
      </c>
      <c r="D10" s="8" t="inlineStr">
        <is>
          <t>Phase 3C</t>
        </is>
      </c>
      <c r="E10" s="8" t="n">
        <v>63.6</v>
      </c>
      <c r="F10" s="8" t="n">
        <v>63.6</v>
      </c>
      <c r="G10" s="8" t="n">
        <v>63.7</v>
      </c>
      <c r="H10" s="8" t="n">
        <v>63</v>
      </c>
      <c r="I10" s="8" t="n">
        <v>64.59999999999999</v>
      </c>
      <c r="J10" s="8" t="n">
        <v>63.5</v>
      </c>
      <c r="K10" s="8" t="n">
        <v>64.09999999999999</v>
      </c>
      <c r="L10" s="8" t="n">
        <v>63.4</v>
      </c>
      <c r="M10" s="8" t="n">
        <v>63.6</v>
      </c>
      <c r="N10" s="8" t="n">
        <v>1.5</v>
      </c>
      <c r="O10" s="8" t="inlineStr">
        <is>
          <t>YES</t>
        </is>
      </c>
    </row>
    <row r="11">
      <c r="A11" s="6" t="inlineStr">
        <is>
          <t>Tanzania</t>
        </is>
      </c>
      <c r="B11" s="6" t="inlineStr">
        <is>
          <t>East Africa</t>
        </is>
      </c>
      <c r="C11" s="6" t="n">
        <v>62.3</v>
      </c>
      <c r="D11" s="6" t="inlineStr">
        <is>
          <t>Phase 3C</t>
        </is>
      </c>
      <c r="E11" s="6" t="n">
        <v>62.3</v>
      </c>
      <c r="F11" s="6" t="n">
        <v>61.4</v>
      </c>
      <c r="G11" s="6" t="n">
        <v>63.2</v>
      </c>
      <c r="H11" s="6" t="n">
        <v>62</v>
      </c>
      <c r="I11" s="6" t="n">
        <v>62.4</v>
      </c>
      <c r="J11" s="6" t="n">
        <v>62.8</v>
      </c>
      <c r="K11" s="6" t="n">
        <v>62.4</v>
      </c>
      <c r="L11" s="6" t="n">
        <v>62.1</v>
      </c>
      <c r="M11" s="6" t="n">
        <v>62.4</v>
      </c>
      <c r="N11" s="6" t="n">
        <v>1.8</v>
      </c>
      <c r="O11" s="6" t="inlineStr">
        <is>
          <t>YES</t>
        </is>
      </c>
    </row>
    <row r="12">
      <c r="A12" s="8" t="inlineStr">
        <is>
          <t>Namibia</t>
        </is>
      </c>
      <c r="B12" s="8" t="inlineStr">
        <is>
          <t>Southern Africa</t>
        </is>
      </c>
      <c r="C12" s="8" t="n">
        <v>62.2</v>
      </c>
      <c r="D12" s="8" t="inlineStr">
        <is>
          <t>Phase 3C</t>
        </is>
      </c>
      <c r="E12" s="8" t="n">
        <v>62.2</v>
      </c>
      <c r="F12" s="8" t="n">
        <v>61.9</v>
      </c>
      <c r="G12" s="8" t="n">
        <v>62.6</v>
      </c>
      <c r="H12" s="8" t="n">
        <v>62.1</v>
      </c>
      <c r="I12" s="8" t="n">
        <v>62.5</v>
      </c>
      <c r="J12" s="8" t="n">
        <v>62.2</v>
      </c>
      <c r="K12" s="8" t="n">
        <v>62.4</v>
      </c>
      <c r="L12" s="8" t="n">
        <v>62</v>
      </c>
      <c r="M12" s="8" t="n">
        <v>62.4</v>
      </c>
      <c r="N12" s="8" t="n">
        <v>0.6</v>
      </c>
      <c r="O12" s="8" t="inlineStr">
        <is>
          <t>YES</t>
        </is>
      </c>
    </row>
    <row r="13">
      <c r="A13" s="6" t="inlineStr">
        <is>
          <t>Tunisia</t>
        </is>
      </c>
      <c r="B13" s="6" t="inlineStr">
        <is>
          <t>North Africa</t>
        </is>
      </c>
      <c r="C13" s="6" t="n">
        <v>61</v>
      </c>
      <c r="D13" s="6" t="inlineStr">
        <is>
          <t>Phase 3C</t>
        </is>
      </c>
      <c r="E13" s="6" t="n">
        <v>61</v>
      </c>
      <c r="F13" s="6" t="n">
        <v>61.4</v>
      </c>
      <c r="G13" s="6" t="n">
        <v>60.7</v>
      </c>
      <c r="H13" s="6" t="n">
        <v>60.4</v>
      </c>
      <c r="I13" s="6" t="n">
        <v>61</v>
      </c>
      <c r="J13" s="6" t="n">
        <v>62.1</v>
      </c>
      <c r="K13" s="6" t="n">
        <v>61</v>
      </c>
      <c r="L13" s="6" t="n">
        <v>61</v>
      </c>
      <c r="M13" s="6" t="n">
        <v>61</v>
      </c>
      <c r="N13" s="6" t="n">
        <v>1.6</v>
      </c>
      <c r="O13" s="6" t="inlineStr">
        <is>
          <t>YES</t>
        </is>
      </c>
    </row>
    <row r="14">
      <c r="A14" s="8" t="inlineStr">
        <is>
          <t>Egypt</t>
        </is>
      </c>
      <c r="B14" s="8" t="inlineStr">
        <is>
          <t>North Africa</t>
        </is>
      </c>
      <c r="C14" s="8" t="n">
        <v>60.8</v>
      </c>
      <c r="D14" s="8" t="inlineStr">
        <is>
          <t>Phase 2</t>
        </is>
      </c>
      <c r="E14" s="8" t="n">
        <v>60.8</v>
      </c>
      <c r="F14" s="8" t="n">
        <v>61.8</v>
      </c>
      <c r="G14" s="8" t="n">
        <v>59.8</v>
      </c>
      <c r="H14" s="8" t="n">
        <v>60.4</v>
      </c>
      <c r="I14" s="8" t="n">
        <v>60.8</v>
      </c>
      <c r="J14" s="8" t="n">
        <v>61.7</v>
      </c>
      <c r="K14" s="8" t="n">
        <v>60</v>
      </c>
      <c r="L14" s="8" t="n">
        <v>61.4</v>
      </c>
      <c r="M14" s="8" t="n">
        <v>60.5</v>
      </c>
      <c r="N14" s="8" t="n">
        <v>2</v>
      </c>
      <c r="O14" s="8" t="inlineStr">
        <is>
          <t>YES</t>
        </is>
      </c>
    </row>
    <row r="15">
      <c r="A15" s="6" t="inlineStr">
        <is>
          <t>Ghana</t>
        </is>
      </c>
      <c r="B15" s="6" t="inlineStr">
        <is>
          <t>West Africa</t>
        </is>
      </c>
      <c r="C15" s="6" t="n">
        <v>60</v>
      </c>
      <c r="D15" s="6" t="inlineStr">
        <is>
          <t>Phase 2</t>
        </is>
      </c>
      <c r="E15" s="6" t="n">
        <v>60</v>
      </c>
      <c r="F15" s="6" t="n">
        <v>59.6</v>
      </c>
      <c r="G15" s="6" t="n">
        <v>60.5</v>
      </c>
      <c r="H15" s="6" t="n">
        <v>58.2</v>
      </c>
      <c r="I15" s="6" t="n">
        <v>61.6</v>
      </c>
      <c r="J15" s="6" t="n">
        <v>61.2</v>
      </c>
      <c r="K15" s="6" t="n">
        <v>60.1</v>
      </c>
      <c r="L15" s="6" t="n">
        <v>59.8</v>
      </c>
      <c r="M15" s="6" t="n">
        <v>59.8</v>
      </c>
      <c r="N15" s="6" t="n">
        <v>3.5</v>
      </c>
      <c r="O15" s="6" t="inlineStr">
        <is>
          <t>YES</t>
        </is>
      </c>
    </row>
    <row r="16">
      <c r="A16" s="8" t="inlineStr">
        <is>
          <t>Senegal</t>
        </is>
      </c>
      <c r="B16" s="8" t="inlineStr">
        <is>
          <t>West Africa</t>
        </is>
      </c>
      <c r="C16" s="8" t="n">
        <v>59.4</v>
      </c>
      <c r="D16" s="8" t="inlineStr">
        <is>
          <t>Phase 2</t>
        </is>
      </c>
      <c r="E16" s="8" t="n">
        <v>59.4</v>
      </c>
      <c r="F16" s="8" t="n">
        <v>56.8</v>
      </c>
      <c r="G16" s="8" t="n">
        <v>62</v>
      </c>
      <c r="H16" s="8" t="n">
        <v>57</v>
      </c>
      <c r="I16" s="8" t="n">
        <v>61.4</v>
      </c>
      <c r="J16" s="8" t="n">
        <v>60.9</v>
      </c>
      <c r="K16" s="8" t="n">
        <v>58.2</v>
      </c>
      <c r="L16" s="8" t="n">
        <v>60.7</v>
      </c>
      <c r="M16" s="8" t="n">
        <v>58.5</v>
      </c>
      <c r="N16" s="8" t="n">
        <v>5.2</v>
      </c>
      <c r="O16" s="11" t="inlineStr">
        <is>
          <t>CAUTION</t>
        </is>
      </c>
    </row>
    <row r="17">
      <c r="A17" s="6" t="inlineStr">
        <is>
          <t>Nigeria</t>
        </is>
      </c>
      <c r="B17" s="6" t="inlineStr">
        <is>
          <t>West Africa</t>
        </is>
      </c>
      <c r="C17" s="6" t="n">
        <v>56.6</v>
      </c>
      <c r="D17" s="6" t="inlineStr">
        <is>
          <t>Phase 2</t>
        </is>
      </c>
      <c r="E17" s="6" t="n">
        <v>56.6</v>
      </c>
      <c r="F17" s="6" t="n">
        <v>57.7</v>
      </c>
      <c r="G17" s="6" t="n">
        <v>55.4</v>
      </c>
      <c r="H17" s="6" t="n">
        <v>56.5</v>
      </c>
      <c r="I17" s="6" t="n">
        <v>55.4</v>
      </c>
      <c r="J17" s="6" t="n">
        <v>58.3</v>
      </c>
      <c r="K17" s="6" t="n">
        <v>56.5</v>
      </c>
      <c r="L17" s="6" t="n">
        <v>56.3</v>
      </c>
      <c r="M17" s="6" t="n">
        <v>56.6</v>
      </c>
      <c r="N17" s="6" t="n">
        <v>2.9</v>
      </c>
      <c r="O17" s="6" t="inlineStr">
        <is>
          <t>YES</t>
        </is>
      </c>
    </row>
    <row r="18">
      <c r="A18" s="8" t="inlineStr">
        <is>
          <t>Ethiopia</t>
        </is>
      </c>
      <c r="B18" s="8" t="inlineStr">
        <is>
          <t>East Africa</t>
        </is>
      </c>
      <c r="C18" s="8" t="n">
        <v>56.1</v>
      </c>
      <c r="D18" s="8" t="inlineStr">
        <is>
          <t>Phase 2</t>
        </is>
      </c>
      <c r="E18" s="8" t="n">
        <v>56.2</v>
      </c>
      <c r="F18" s="8" t="n">
        <v>55.8</v>
      </c>
      <c r="G18" s="8" t="n">
        <v>56.5</v>
      </c>
      <c r="H18" s="8" t="n">
        <v>56.4</v>
      </c>
      <c r="I18" s="8" t="n">
        <v>55</v>
      </c>
      <c r="J18" s="8" t="n">
        <v>57.1</v>
      </c>
      <c r="K18" s="8" t="n">
        <v>56.6</v>
      </c>
      <c r="L18" s="8" t="n">
        <v>55.8</v>
      </c>
      <c r="M18" s="8" t="n">
        <v>56.3</v>
      </c>
      <c r="N18" s="8" t="n">
        <v>2.1</v>
      </c>
      <c r="O18" s="8" t="inlineStr">
        <is>
          <t>YES</t>
        </is>
      </c>
    </row>
    <row r="19">
      <c r="A19" s="6" t="inlineStr">
        <is>
          <t>Cape Verde</t>
        </is>
      </c>
      <c r="B19" s="6" t="inlineStr">
        <is>
          <t>West Africa</t>
        </is>
      </c>
      <c r="C19" s="6" t="n">
        <v>54.6</v>
      </c>
      <c r="D19" s="6" t="inlineStr">
        <is>
          <t>Phase 2</t>
        </is>
      </c>
      <c r="E19" s="6" t="n">
        <v>54.6</v>
      </c>
      <c r="F19" s="6" t="n">
        <v>54</v>
      </c>
      <c r="G19" s="6" t="n">
        <v>55.2</v>
      </c>
      <c r="H19" s="6" t="n">
        <v>54</v>
      </c>
      <c r="I19" s="6" t="n">
        <v>55.3</v>
      </c>
      <c r="J19" s="6" t="n">
        <v>54.8</v>
      </c>
      <c r="K19" s="6" t="n">
        <v>54.9</v>
      </c>
      <c r="L19" s="6" t="n">
        <v>54.3</v>
      </c>
      <c r="M19" s="6" t="n">
        <v>54.7</v>
      </c>
      <c r="N19" s="6" t="n">
        <v>1.3</v>
      </c>
      <c r="O19" s="6" t="inlineStr">
        <is>
          <t>YES</t>
        </is>
      </c>
    </row>
    <row r="20">
      <c r="A20" s="8" t="inlineStr">
        <is>
          <t>Côte d'Ivoire</t>
        </is>
      </c>
      <c r="B20" s="8" t="inlineStr">
        <is>
          <t>West Africa</t>
        </is>
      </c>
      <c r="C20" s="8" t="n">
        <v>53.2</v>
      </c>
      <c r="D20" s="8" t="inlineStr">
        <is>
          <t>Phase 2</t>
        </is>
      </c>
      <c r="E20" s="8" t="n">
        <v>53.2</v>
      </c>
      <c r="F20" s="8" t="n">
        <v>52.1</v>
      </c>
      <c r="G20" s="8" t="n">
        <v>54.2</v>
      </c>
      <c r="H20" s="8" t="n">
        <v>50.4</v>
      </c>
      <c r="I20" s="8" t="n">
        <v>55</v>
      </c>
      <c r="J20" s="8" t="n">
        <v>55.6</v>
      </c>
      <c r="K20" s="8" t="n">
        <v>52.4</v>
      </c>
      <c r="L20" s="8" t="n">
        <v>53.7</v>
      </c>
      <c r="M20" s="8" t="n">
        <v>52.5</v>
      </c>
      <c r="N20" s="8" t="n">
        <v>5.2</v>
      </c>
      <c r="O20" s="11" t="inlineStr">
        <is>
          <t>CAUTION</t>
        </is>
      </c>
    </row>
    <row r="21">
      <c r="A21" s="6" t="inlineStr">
        <is>
          <t>Uganda</t>
        </is>
      </c>
      <c r="B21" s="6" t="inlineStr">
        <is>
          <t>East Africa</t>
        </is>
      </c>
      <c r="C21" s="6" t="n">
        <v>51.6</v>
      </c>
      <c r="D21" s="6" t="inlineStr">
        <is>
          <t>Phase 2</t>
        </is>
      </c>
      <c r="E21" s="6" t="n">
        <v>51.6</v>
      </c>
      <c r="F21" s="6" t="n">
        <v>51.2</v>
      </c>
      <c r="G21" s="6" t="n">
        <v>52</v>
      </c>
      <c r="H21" s="6" t="n">
        <v>51.4</v>
      </c>
      <c r="I21" s="6" t="n">
        <v>51.4</v>
      </c>
      <c r="J21" s="6" t="n">
        <v>52.1</v>
      </c>
      <c r="K21" s="6" t="n">
        <v>51</v>
      </c>
      <c r="L21" s="6" t="n">
        <v>51.9</v>
      </c>
      <c r="M21" s="6" t="n">
        <v>51.5</v>
      </c>
      <c r="N21" s="6" t="n">
        <v>1.1</v>
      </c>
      <c r="O21" s="6" t="inlineStr">
        <is>
          <t>YES</t>
        </is>
      </c>
    </row>
    <row r="22">
      <c r="A22" s="8" t="inlineStr">
        <is>
          <t>Gabon</t>
        </is>
      </c>
      <c r="B22" s="8" t="inlineStr">
        <is>
          <t>Central Africa</t>
        </is>
      </c>
      <c r="C22" s="8" t="n">
        <v>50.6</v>
      </c>
      <c r="D22" s="8" t="inlineStr">
        <is>
          <t>Phase 2</t>
        </is>
      </c>
      <c r="E22" s="8" t="n">
        <v>50.6</v>
      </c>
      <c r="F22" s="8" t="n">
        <v>51</v>
      </c>
      <c r="G22" s="8" t="n">
        <v>50.2</v>
      </c>
      <c r="H22" s="8" t="n">
        <v>49.4</v>
      </c>
      <c r="I22" s="8" t="n">
        <v>52.2</v>
      </c>
      <c r="J22" s="8" t="n">
        <v>50.8</v>
      </c>
      <c r="K22" s="8" t="n">
        <v>50.2</v>
      </c>
      <c r="L22" s="8" t="n">
        <v>50.8</v>
      </c>
      <c r="M22" s="8" t="n">
        <v>50.3</v>
      </c>
      <c r="N22" s="8" t="n">
        <v>2.8</v>
      </c>
      <c r="O22" s="8" t="inlineStr">
        <is>
          <t>YES</t>
        </is>
      </c>
    </row>
    <row r="23">
      <c r="A23" s="6" t="inlineStr">
        <is>
          <t>Cameroon</t>
        </is>
      </c>
      <c r="B23" s="6" t="inlineStr">
        <is>
          <t>Central Africa</t>
        </is>
      </c>
      <c r="C23" s="6" t="n">
        <v>49.1</v>
      </c>
      <c r="D23" s="6" t="inlineStr">
        <is>
          <t>Phase 2</t>
        </is>
      </c>
      <c r="E23" s="6" t="n">
        <v>49.2</v>
      </c>
      <c r="F23" s="6" t="n">
        <v>48.8</v>
      </c>
      <c r="G23" s="6" t="n">
        <v>49.5</v>
      </c>
      <c r="H23" s="6" t="n">
        <v>46.6</v>
      </c>
      <c r="I23" s="6" t="n">
        <v>51</v>
      </c>
      <c r="J23" s="6" t="n">
        <v>51</v>
      </c>
      <c r="K23" s="6" t="n">
        <v>48.6</v>
      </c>
      <c r="L23" s="6" t="n">
        <v>49.4</v>
      </c>
      <c r="M23" s="6" t="n">
        <v>48.7</v>
      </c>
      <c r="N23" s="6" t="n">
        <v>4.4</v>
      </c>
      <c r="O23" s="6" t="inlineStr">
        <is>
          <t>YES</t>
        </is>
      </c>
    </row>
    <row r="24">
      <c r="A24" s="8" t="inlineStr">
        <is>
          <t>Zambia</t>
        </is>
      </c>
      <c r="B24" s="8" t="inlineStr">
        <is>
          <t>Southern Africa</t>
        </is>
      </c>
      <c r="C24" s="8" t="n">
        <v>48</v>
      </c>
      <c r="D24" s="8" t="inlineStr">
        <is>
          <t>Phase 2</t>
        </is>
      </c>
      <c r="E24" s="8" t="n">
        <v>48</v>
      </c>
      <c r="F24" s="8" t="n">
        <v>47.7</v>
      </c>
      <c r="G24" s="8" t="n">
        <v>48.4</v>
      </c>
      <c r="H24" s="8" t="n">
        <v>47.4</v>
      </c>
      <c r="I24" s="8" t="n">
        <v>48.5</v>
      </c>
      <c r="J24" s="8" t="n">
        <v>48.5</v>
      </c>
      <c r="K24" s="8" t="n">
        <v>47.5</v>
      </c>
      <c r="L24" s="8" t="n">
        <v>48.4</v>
      </c>
      <c r="M24" s="8" t="n">
        <v>47.8</v>
      </c>
      <c r="N24" s="8" t="n">
        <v>1</v>
      </c>
      <c r="O24" s="8" t="inlineStr">
        <is>
          <t>YES</t>
        </is>
      </c>
    </row>
    <row r="25">
      <c r="A25" s="6" t="inlineStr">
        <is>
          <t>Angola</t>
        </is>
      </c>
      <c r="B25" s="6" t="inlineStr">
        <is>
          <t>Southern Africa</t>
        </is>
      </c>
      <c r="C25" s="6" t="n">
        <v>47.8</v>
      </c>
      <c r="D25" s="6" t="inlineStr">
        <is>
          <t>Phase 2</t>
        </is>
      </c>
      <c r="E25" s="6" t="n">
        <v>47.8</v>
      </c>
      <c r="F25" s="6" t="n">
        <v>48.2</v>
      </c>
      <c r="G25" s="6" t="n">
        <v>47.3</v>
      </c>
      <c r="H25" s="6" t="n">
        <v>47</v>
      </c>
      <c r="I25" s="6" t="n">
        <v>48.3</v>
      </c>
      <c r="J25" s="6" t="n">
        <v>48.3</v>
      </c>
      <c r="K25" s="6" t="n">
        <v>47.2</v>
      </c>
      <c r="L25" s="6" t="n">
        <v>48.2</v>
      </c>
      <c r="M25" s="6" t="n">
        <v>47.5</v>
      </c>
      <c r="N25" s="6" t="n">
        <v>1.2</v>
      </c>
      <c r="O25" s="6" t="inlineStr">
        <is>
          <t>YES</t>
        </is>
      </c>
    </row>
    <row r="26">
      <c r="A26" s="8" t="inlineStr">
        <is>
          <t>Benin</t>
        </is>
      </c>
      <c r="B26" s="8" t="inlineStr">
        <is>
          <t>West Africa</t>
        </is>
      </c>
      <c r="C26" s="8" t="n">
        <v>46.3</v>
      </c>
      <c r="D26" s="8" t="inlineStr">
        <is>
          <t>Phase 2</t>
        </is>
      </c>
      <c r="E26" s="8" t="n">
        <v>46.3</v>
      </c>
      <c r="F26" s="8" t="n">
        <v>45.6</v>
      </c>
      <c r="G26" s="8" t="n">
        <v>47</v>
      </c>
      <c r="H26" s="8" t="n">
        <v>44.5</v>
      </c>
      <c r="I26" s="8" t="n">
        <v>47.6</v>
      </c>
      <c r="J26" s="8" t="n">
        <v>47.6</v>
      </c>
      <c r="K26" s="8" t="n">
        <v>46.1</v>
      </c>
      <c r="L26" s="8" t="n">
        <v>46.4</v>
      </c>
      <c r="M26" s="8" t="n">
        <v>46</v>
      </c>
      <c r="N26" s="8" t="n">
        <v>3.1</v>
      </c>
      <c r="O26" s="8" t="inlineStr">
        <is>
          <t>YES</t>
        </is>
      </c>
    </row>
    <row r="27">
      <c r="A27" s="6" t="inlineStr">
        <is>
          <t>Libya</t>
        </is>
      </c>
      <c r="B27" s="6" t="inlineStr">
        <is>
          <t>North Africa</t>
        </is>
      </c>
      <c r="C27" s="6" t="n">
        <v>44.7</v>
      </c>
      <c r="D27" s="6" t="inlineStr">
        <is>
          <t>Phase 2</t>
        </is>
      </c>
      <c r="E27" s="6" t="n">
        <v>44.7</v>
      </c>
      <c r="F27" s="6" t="n">
        <v>45.9</v>
      </c>
      <c r="G27" s="6" t="n">
        <v>43.6</v>
      </c>
      <c r="H27" s="6" t="n">
        <v>43.4</v>
      </c>
      <c r="I27" s="6" t="n">
        <v>45.6</v>
      </c>
      <c r="J27" s="6" t="n">
        <v>45.7</v>
      </c>
      <c r="K27" s="6" t="n">
        <v>45.4</v>
      </c>
      <c r="L27" s="6" t="n">
        <v>43.4</v>
      </c>
      <c r="M27" s="6" t="n">
        <v>45.1</v>
      </c>
      <c r="N27" s="6" t="n">
        <v>2.5</v>
      </c>
      <c r="O27" s="6" t="inlineStr">
        <is>
          <t>YES</t>
        </is>
      </c>
    </row>
    <row r="28">
      <c r="A28" s="8" t="inlineStr">
        <is>
          <t>Mauritania</t>
        </is>
      </c>
      <c r="B28" s="8" t="inlineStr">
        <is>
          <t>North Africa</t>
        </is>
      </c>
      <c r="C28" s="8" t="n">
        <v>44.3</v>
      </c>
      <c r="D28" s="8" t="inlineStr">
        <is>
          <t>Phase 2</t>
        </is>
      </c>
      <c r="E28" s="8" t="n">
        <v>44.3</v>
      </c>
      <c r="F28" s="8" t="n">
        <v>44.5</v>
      </c>
      <c r="G28" s="8" t="n">
        <v>44.2</v>
      </c>
      <c r="H28" s="8" t="n">
        <v>43.4</v>
      </c>
      <c r="I28" s="8" t="n">
        <v>46.6</v>
      </c>
      <c r="J28" s="8" t="n">
        <v>43</v>
      </c>
      <c r="K28" s="8" t="n">
        <v>44.6</v>
      </c>
      <c r="L28" s="8" t="n">
        <v>44.3</v>
      </c>
      <c r="M28" s="8" t="n">
        <v>44.2</v>
      </c>
      <c r="N28" s="8" t="n">
        <v>3.5</v>
      </c>
      <c r="O28" s="8" t="inlineStr">
        <is>
          <t>YES</t>
        </is>
      </c>
    </row>
    <row r="29">
      <c r="A29" s="6" t="inlineStr">
        <is>
          <t>Djibouti</t>
        </is>
      </c>
      <c r="B29" s="6" t="inlineStr">
        <is>
          <t>East Africa</t>
        </is>
      </c>
      <c r="C29" s="6" t="n">
        <v>44.2</v>
      </c>
      <c r="D29" s="6" t="inlineStr">
        <is>
          <t>Phase 2</t>
        </is>
      </c>
      <c r="E29" s="6" t="n">
        <v>44.2</v>
      </c>
      <c r="F29" s="6" t="n">
        <v>43.6</v>
      </c>
      <c r="G29" s="6" t="n">
        <v>44.8</v>
      </c>
      <c r="H29" s="6" t="n">
        <v>43.5</v>
      </c>
      <c r="I29" s="6" t="n">
        <v>45</v>
      </c>
      <c r="J29" s="6" t="n">
        <v>44.2</v>
      </c>
      <c r="K29" s="6" t="n">
        <v>43.8</v>
      </c>
      <c r="L29" s="6" t="n">
        <v>44.6</v>
      </c>
      <c r="M29" s="6" t="n">
        <v>43.9</v>
      </c>
      <c r="N29" s="6" t="n">
        <v>1.5</v>
      </c>
      <c r="O29" s="6" t="inlineStr">
        <is>
          <t>YES</t>
        </is>
      </c>
    </row>
    <row r="30">
      <c r="A30" s="8" t="inlineStr">
        <is>
          <t>Togo</t>
        </is>
      </c>
      <c r="B30" s="8" t="inlineStr">
        <is>
          <t>West Africa</t>
        </is>
      </c>
      <c r="C30" s="8" t="n">
        <v>43.6</v>
      </c>
      <c r="D30" s="8" t="inlineStr">
        <is>
          <t>Phase 2</t>
        </is>
      </c>
      <c r="E30" s="8" t="n">
        <v>43.6</v>
      </c>
      <c r="F30" s="8" t="n">
        <v>42.8</v>
      </c>
      <c r="G30" s="8" t="n">
        <v>44.5</v>
      </c>
      <c r="H30" s="8" t="n">
        <v>42</v>
      </c>
      <c r="I30" s="8" t="n">
        <v>44.8</v>
      </c>
      <c r="J30" s="8" t="n">
        <v>45</v>
      </c>
      <c r="K30" s="8" t="n">
        <v>43.4</v>
      </c>
      <c r="L30" s="8" t="n">
        <v>43.8</v>
      </c>
      <c r="M30" s="8" t="n">
        <v>43.4</v>
      </c>
      <c r="N30" s="8" t="n">
        <v>3</v>
      </c>
      <c r="O30" s="8" t="inlineStr">
        <is>
          <t>YES</t>
        </is>
      </c>
    </row>
    <row r="31">
      <c r="A31" s="6" t="inlineStr">
        <is>
          <t>Mozambique</t>
        </is>
      </c>
      <c r="B31" s="6" t="inlineStr">
        <is>
          <t>Southern Africa</t>
        </is>
      </c>
      <c r="C31" s="6" t="n">
        <v>42.9</v>
      </c>
      <c r="D31" s="6" t="inlineStr">
        <is>
          <t>Phase 2</t>
        </is>
      </c>
      <c r="E31" s="6" t="n">
        <v>42.8</v>
      </c>
      <c r="F31" s="6" t="n">
        <v>42.3</v>
      </c>
      <c r="G31" s="6" t="n">
        <v>43.4</v>
      </c>
      <c r="H31" s="6" t="n">
        <v>41.4</v>
      </c>
      <c r="I31" s="6" t="n">
        <v>44.8</v>
      </c>
      <c r="J31" s="6" t="n">
        <v>42.9</v>
      </c>
      <c r="K31" s="6" t="n">
        <v>43.2</v>
      </c>
      <c r="L31" s="6" t="n">
        <v>42.6</v>
      </c>
      <c r="M31" s="6" t="n">
        <v>42.8</v>
      </c>
      <c r="N31" s="6" t="n">
        <v>3.4</v>
      </c>
      <c r="O31" s="6" t="inlineStr">
        <is>
          <t>YES</t>
        </is>
      </c>
    </row>
    <row r="32">
      <c r="A32" s="8" t="inlineStr">
        <is>
          <t>Madagascar</t>
        </is>
      </c>
      <c r="B32" s="8" t="inlineStr">
        <is>
          <t>Southern Africa</t>
        </is>
      </c>
      <c r="C32" s="8" t="n">
        <v>42</v>
      </c>
      <c r="D32" s="8" t="inlineStr">
        <is>
          <t>Phase 2</t>
        </is>
      </c>
      <c r="E32" s="8" t="n">
        <v>42</v>
      </c>
      <c r="F32" s="8" t="n">
        <v>41.6</v>
      </c>
      <c r="G32" s="8" t="n">
        <v>42.4</v>
      </c>
      <c r="H32" s="8" t="n">
        <v>40.6</v>
      </c>
      <c r="I32" s="8" t="n">
        <v>43.9</v>
      </c>
      <c r="J32" s="8" t="n">
        <v>42.1</v>
      </c>
      <c r="K32" s="8" t="n">
        <v>42.5</v>
      </c>
      <c r="L32" s="8" t="n">
        <v>41.5</v>
      </c>
      <c r="M32" s="8" t="n">
        <v>42</v>
      </c>
      <c r="N32" s="8" t="n">
        <v>3.4</v>
      </c>
      <c r="O32" s="8" t="inlineStr">
        <is>
          <t>YES</t>
        </is>
      </c>
    </row>
    <row r="33">
      <c r="A33" s="6" t="inlineStr">
        <is>
          <t>Eswatini</t>
        </is>
      </c>
      <c r="B33" s="6" t="inlineStr">
        <is>
          <t>Southern Africa</t>
        </is>
      </c>
      <c r="C33" s="6" t="n">
        <v>41.4</v>
      </c>
      <c r="D33" s="6" t="inlineStr">
        <is>
          <t>Phase 2</t>
        </is>
      </c>
      <c r="E33" s="6" t="n">
        <v>41.4</v>
      </c>
      <c r="F33" s="6" t="n">
        <v>41.5</v>
      </c>
      <c r="G33" s="6" t="n">
        <v>41.4</v>
      </c>
      <c r="H33" s="6" t="n">
        <v>40.2</v>
      </c>
      <c r="I33" s="6" t="n">
        <v>43</v>
      </c>
      <c r="J33" s="6" t="n">
        <v>41.5</v>
      </c>
      <c r="K33" s="6" t="n">
        <v>42.2</v>
      </c>
      <c r="L33" s="6" t="n">
        <v>40.7</v>
      </c>
      <c r="M33" s="6" t="n">
        <v>41.5</v>
      </c>
      <c r="N33" s="6" t="n">
        <v>2.8</v>
      </c>
      <c r="O33" s="6" t="inlineStr">
        <is>
          <t>YES</t>
        </is>
      </c>
    </row>
    <row r="34">
      <c r="A34" s="8" t="inlineStr">
        <is>
          <t>Lesotho</t>
        </is>
      </c>
      <c r="B34" s="8" t="inlineStr">
        <is>
          <t>Southern Africa</t>
        </is>
      </c>
      <c r="C34" s="8" t="n">
        <v>41.3</v>
      </c>
      <c r="D34" s="8" t="inlineStr">
        <is>
          <t>Phase 2</t>
        </is>
      </c>
      <c r="E34" s="8" t="n">
        <v>41.3</v>
      </c>
      <c r="F34" s="8" t="n">
        <v>40.7</v>
      </c>
      <c r="G34" s="8" t="n">
        <v>41.8</v>
      </c>
      <c r="H34" s="8" t="n">
        <v>40</v>
      </c>
      <c r="I34" s="8" t="n">
        <v>43.5</v>
      </c>
      <c r="J34" s="8" t="n">
        <v>40.7</v>
      </c>
      <c r="K34" s="8" t="n">
        <v>41.9</v>
      </c>
      <c r="L34" s="8" t="n">
        <v>40.8</v>
      </c>
      <c r="M34" s="8" t="n">
        <v>41.3</v>
      </c>
      <c r="N34" s="8" t="n">
        <v>3.5</v>
      </c>
      <c r="O34" s="8" t="inlineStr">
        <is>
          <t>YES</t>
        </is>
      </c>
    </row>
    <row r="35">
      <c r="A35" s="6" t="inlineStr">
        <is>
          <t>Zimbabwe</t>
        </is>
      </c>
      <c r="B35" s="6" t="inlineStr">
        <is>
          <t>Southern Africa</t>
        </is>
      </c>
      <c r="C35" s="6" t="n">
        <v>41.2</v>
      </c>
      <c r="D35" s="6" t="inlineStr">
        <is>
          <t>Phase 2</t>
        </is>
      </c>
      <c r="E35" s="6" t="n">
        <v>41.2</v>
      </c>
      <c r="F35" s="6" t="n">
        <v>40.7</v>
      </c>
      <c r="G35" s="6" t="n">
        <v>41.8</v>
      </c>
      <c r="H35" s="6" t="n">
        <v>39.4</v>
      </c>
      <c r="I35" s="6" t="n">
        <v>43.5</v>
      </c>
      <c r="J35" s="6" t="n">
        <v>41.3</v>
      </c>
      <c r="K35" s="6" t="n">
        <v>41.8</v>
      </c>
      <c r="L35" s="6" t="n">
        <v>40.7</v>
      </c>
      <c r="M35" s="6" t="n">
        <v>41.1</v>
      </c>
      <c r="N35" s="6" t="n">
        <v>4.1</v>
      </c>
      <c r="O35" s="6" t="inlineStr">
        <is>
          <t>YES</t>
        </is>
      </c>
    </row>
    <row r="36">
      <c r="A36" s="8" t="inlineStr">
        <is>
          <t>Eritrea</t>
        </is>
      </c>
      <c r="B36" s="8" t="inlineStr">
        <is>
          <t>East Africa</t>
        </is>
      </c>
      <c r="C36" s="8" t="n">
        <v>39.1</v>
      </c>
      <c r="D36" s="8" t="inlineStr">
        <is>
          <t>Phase 2</t>
        </is>
      </c>
      <c r="E36" s="8" t="n">
        <v>39.1</v>
      </c>
      <c r="F36" s="8" t="n">
        <v>39</v>
      </c>
      <c r="G36" s="8" t="n">
        <v>39.3</v>
      </c>
      <c r="H36" s="8" t="n">
        <v>38.8</v>
      </c>
      <c r="I36" s="8" t="n">
        <v>39.4</v>
      </c>
      <c r="J36" s="8" t="n">
        <v>39.2</v>
      </c>
      <c r="K36" s="8" t="n">
        <v>38.9</v>
      </c>
      <c r="L36" s="8" t="n">
        <v>39.3</v>
      </c>
      <c r="M36" s="8" t="n">
        <v>39</v>
      </c>
      <c r="N36" s="8" t="n">
        <v>0.6</v>
      </c>
      <c r="O36" s="8" t="inlineStr">
        <is>
          <t>YES</t>
        </is>
      </c>
    </row>
    <row r="37">
      <c r="A37" s="6" t="inlineStr">
        <is>
          <t>Congo</t>
        </is>
      </c>
      <c r="B37" s="6" t="inlineStr">
        <is>
          <t>Central Africa</t>
        </is>
      </c>
      <c r="C37" s="6" t="n">
        <v>38.8</v>
      </c>
      <c r="D37" s="6" t="inlineStr">
        <is>
          <t>Phase 2</t>
        </is>
      </c>
      <c r="E37" s="6" t="n">
        <v>38.8</v>
      </c>
      <c r="F37" s="6" t="n">
        <v>38.6</v>
      </c>
      <c r="G37" s="6" t="n">
        <v>38.9</v>
      </c>
      <c r="H37" s="6" t="n">
        <v>37.5</v>
      </c>
      <c r="I37" s="6" t="n">
        <v>39.4</v>
      </c>
      <c r="J37" s="6" t="n">
        <v>40</v>
      </c>
      <c r="K37" s="6" t="n">
        <v>38</v>
      </c>
      <c r="L37" s="6" t="n">
        <v>39.4</v>
      </c>
      <c r="M37" s="6" t="n">
        <v>38.3</v>
      </c>
      <c r="N37" s="6" t="n">
        <v>2.5</v>
      </c>
      <c r="O37" s="6" t="inlineStr">
        <is>
          <t>YES</t>
        </is>
      </c>
    </row>
    <row r="38">
      <c r="A38" s="8" t="inlineStr">
        <is>
          <t>Comoros</t>
        </is>
      </c>
      <c r="B38" s="8" t="inlineStr">
        <is>
          <t>East Africa</t>
        </is>
      </c>
      <c r="C38" s="8" t="n">
        <v>38.3</v>
      </c>
      <c r="D38" s="8" t="inlineStr">
        <is>
          <t>Phase 2</t>
        </is>
      </c>
      <c r="E38" s="8" t="n">
        <v>38.4</v>
      </c>
      <c r="F38" s="8" t="n">
        <v>38.2</v>
      </c>
      <c r="G38" s="8" t="n">
        <v>38.6</v>
      </c>
      <c r="H38" s="8" t="n">
        <v>36.7</v>
      </c>
      <c r="I38" s="8" t="n">
        <v>39.7</v>
      </c>
      <c r="J38" s="8" t="n">
        <v>39.5</v>
      </c>
      <c r="K38" s="8" t="n">
        <v>38.6</v>
      </c>
      <c r="L38" s="8" t="n">
        <v>37.8</v>
      </c>
      <c r="M38" s="8" t="n">
        <v>38.3</v>
      </c>
      <c r="N38" s="8" t="n">
        <v>3</v>
      </c>
      <c r="O38" s="8" t="inlineStr">
        <is>
          <t>YES</t>
        </is>
      </c>
    </row>
    <row r="39">
      <c r="A39" s="6" t="inlineStr">
        <is>
          <t>Sierra Leone</t>
        </is>
      </c>
      <c r="B39" s="6" t="inlineStr">
        <is>
          <t>West Africa</t>
        </is>
      </c>
      <c r="C39" s="6" t="n">
        <v>37.9</v>
      </c>
      <c r="D39" s="6" t="inlineStr">
        <is>
          <t>Phase 2</t>
        </is>
      </c>
      <c r="E39" s="6" t="n">
        <v>37.9</v>
      </c>
      <c r="F39" s="6" t="n">
        <v>37.4</v>
      </c>
      <c r="G39" s="6" t="n">
        <v>38.5</v>
      </c>
      <c r="H39" s="6" t="n">
        <v>37</v>
      </c>
      <c r="I39" s="6" t="n">
        <v>39.2</v>
      </c>
      <c r="J39" s="6" t="n">
        <v>37.9</v>
      </c>
      <c r="K39" s="6" t="n">
        <v>37.7</v>
      </c>
      <c r="L39" s="6" t="n">
        <v>38</v>
      </c>
      <c r="M39" s="6" t="n">
        <v>37.8</v>
      </c>
      <c r="N39" s="6" t="n">
        <v>2.2</v>
      </c>
      <c r="O39" s="6" t="inlineStr">
        <is>
          <t>YES</t>
        </is>
      </c>
    </row>
    <row r="40">
      <c r="A40" s="8" t="inlineStr">
        <is>
          <t>Equatorial Guinea</t>
        </is>
      </c>
      <c r="B40" s="8" t="inlineStr">
        <is>
          <t>Central Africa</t>
        </is>
      </c>
      <c r="C40" s="8" t="n">
        <v>37</v>
      </c>
      <c r="D40" s="8" t="inlineStr">
        <is>
          <t>Phase 2</t>
        </is>
      </c>
      <c r="E40" s="8" t="n">
        <v>37</v>
      </c>
      <c r="F40" s="8" t="n">
        <v>37.5</v>
      </c>
      <c r="G40" s="8" t="n">
        <v>36.6</v>
      </c>
      <c r="H40" s="8" t="n">
        <v>36.7</v>
      </c>
      <c r="I40" s="8" t="n">
        <v>37.3</v>
      </c>
      <c r="J40" s="8" t="n">
        <v>37.3</v>
      </c>
      <c r="K40" s="8" t="n">
        <v>36.8</v>
      </c>
      <c r="L40" s="8" t="n">
        <v>37.3</v>
      </c>
      <c r="M40" s="8" t="n">
        <v>36.9</v>
      </c>
      <c r="N40" s="8" t="n">
        <v>1</v>
      </c>
      <c r="O40" s="8" t="inlineStr">
        <is>
          <t>YES</t>
        </is>
      </c>
    </row>
    <row r="41">
      <c r="A41" s="6" t="inlineStr">
        <is>
          <t>São Tomé</t>
        </is>
      </c>
      <c r="B41" s="6" t="inlineStr">
        <is>
          <t>Central Africa</t>
        </is>
      </c>
      <c r="C41" s="6" t="n">
        <v>36.7</v>
      </c>
      <c r="D41" s="6" t="inlineStr">
        <is>
          <t>Phase 2</t>
        </is>
      </c>
      <c r="E41" s="6" t="n">
        <v>36.7</v>
      </c>
      <c r="F41" s="6" t="n">
        <v>36.5</v>
      </c>
      <c r="G41" s="6" t="n">
        <v>36.9</v>
      </c>
      <c r="H41" s="6" t="n">
        <v>35.7</v>
      </c>
      <c r="I41" s="6" t="n">
        <v>37.7</v>
      </c>
      <c r="J41" s="6" t="n">
        <v>37.1</v>
      </c>
      <c r="K41" s="6" t="n">
        <v>36.1</v>
      </c>
      <c r="L41" s="6" t="n">
        <v>37.2</v>
      </c>
      <c r="M41" s="6" t="n">
        <v>36.4</v>
      </c>
      <c r="N41" s="6" t="n">
        <v>2</v>
      </c>
      <c r="O41" s="6" t="inlineStr">
        <is>
          <t>YES</t>
        </is>
      </c>
    </row>
    <row r="42">
      <c r="A42" s="8" t="inlineStr">
        <is>
          <t>Sudan</t>
        </is>
      </c>
      <c r="B42" s="8" t="inlineStr">
        <is>
          <t>East Africa</t>
        </is>
      </c>
      <c r="C42" s="8" t="n">
        <v>36.5</v>
      </c>
      <c r="D42" s="8" t="inlineStr">
        <is>
          <t>Phase 2</t>
        </is>
      </c>
      <c r="E42" s="8" t="n">
        <v>36.5</v>
      </c>
      <c r="F42" s="8" t="n">
        <v>36.7</v>
      </c>
      <c r="G42" s="8" t="n">
        <v>36.4</v>
      </c>
      <c r="H42" s="8" t="n">
        <v>34.8</v>
      </c>
      <c r="I42" s="8" t="n">
        <v>37.9</v>
      </c>
      <c r="J42" s="8" t="n">
        <v>37.7</v>
      </c>
      <c r="K42" s="8" t="n">
        <v>37.3</v>
      </c>
      <c r="L42" s="8" t="n">
        <v>35.3</v>
      </c>
      <c r="M42" s="8" t="n">
        <v>36.8</v>
      </c>
      <c r="N42" s="8" t="n">
        <v>3</v>
      </c>
      <c r="O42" s="8" t="inlineStr">
        <is>
          <t>YES</t>
        </is>
      </c>
    </row>
    <row r="43">
      <c r="A43" s="6" t="inlineStr">
        <is>
          <t>Liberia</t>
        </is>
      </c>
      <c r="B43" s="6" t="inlineStr">
        <is>
          <t>West Africa</t>
        </is>
      </c>
      <c r="C43" s="6" t="n">
        <v>36.5</v>
      </c>
      <c r="D43" s="6" t="inlineStr">
        <is>
          <t>Phase 2</t>
        </is>
      </c>
      <c r="E43" s="6" t="n">
        <v>36.4</v>
      </c>
      <c r="F43" s="6" t="n">
        <v>35.8</v>
      </c>
      <c r="G43" s="6" t="n">
        <v>37</v>
      </c>
      <c r="H43" s="6" t="n">
        <v>35.4</v>
      </c>
      <c r="I43" s="6" t="n">
        <v>38</v>
      </c>
      <c r="J43" s="6" t="n">
        <v>36.2</v>
      </c>
      <c r="K43" s="6" t="n">
        <v>36.4</v>
      </c>
      <c r="L43" s="6" t="n">
        <v>36.4</v>
      </c>
      <c r="M43" s="6" t="n">
        <v>36.3</v>
      </c>
      <c r="N43" s="6" t="n">
        <v>2.7</v>
      </c>
      <c r="O43" s="6" t="inlineStr">
        <is>
          <t>YES</t>
        </is>
      </c>
    </row>
    <row r="44">
      <c r="A44" s="8" t="inlineStr">
        <is>
          <t>DR Congo</t>
        </is>
      </c>
      <c r="B44" s="8" t="inlineStr">
        <is>
          <t>Central Africa</t>
        </is>
      </c>
      <c r="C44" s="8" t="n">
        <v>36</v>
      </c>
      <c r="D44" s="8" t="inlineStr">
        <is>
          <t>Phase 1</t>
        </is>
      </c>
      <c r="E44" s="8" t="n">
        <v>36</v>
      </c>
      <c r="F44" s="8" t="n">
        <v>36.1</v>
      </c>
      <c r="G44" s="8" t="n">
        <v>35.9</v>
      </c>
      <c r="H44" s="8" t="n">
        <v>34.6</v>
      </c>
      <c r="I44" s="8" t="n">
        <v>37</v>
      </c>
      <c r="J44" s="8" t="n">
        <v>37</v>
      </c>
      <c r="K44" s="8" t="n">
        <v>35.6</v>
      </c>
      <c r="L44" s="8" t="n">
        <v>36.4</v>
      </c>
      <c r="M44" s="8" t="n">
        <v>35.6</v>
      </c>
      <c r="N44" s="8" t="n">
        <v>2.4</v>
      </c>
      <c r="O44" s="8" t="inlineStr">
        <is>
          <t>YES</t>
        </is>
      </c>
    </row>
    <row r="45">
      <c r="A45" s="6" t="inlineStr">
        <is>
          <t>Gambia</t>
        </is>
      </c>
      <c r="B45" s="6" t="inlineStr">
        <is>
          <t>West Africa</t>
        </is>
      </c>
      <c r="C45" s="6" t="n">
        <v>34.6</v>
      </c>
      <c r="D45" s="6" t="inlineStr">
        <is>
          <t>Phase 1</t>
        </is>
      </c>
      <c r="E45" s="6" t="n">
        <v>34.6</v>
      </c>
      <c r="F45" s="6" t="n">
        <v>34</v>
      </c>
      <c r="G45" s="6" t="n">
        <v>35.3</v>
      </c>
      <c r="H45" s="6" t="n">
        <v>33.4</v>
      </c>
      <c r="I45" s="6" t="n">
        <v>36.6</v>
      </c>
      <c r="J45" s="6" t="n">
        <v>34.1</v>
      </c>
      <c r="K45" s="6" t="n">
        <v>34.7</v>
      </c>
      <c r="L45" s="6" t="n">
        <v>34.5</v>
      </c>
      <c r="M45" s="6" t="n">
        <v>34.6</v>
      </c>
      <c r="N45" s="6" t="n">
        <v>3.2</v>
      </c>
      <c r="O45" s="6" t="inlineStr">
        <is>
          <t>YES</t>
        </is>
      </c>
    </row>
    <row r="46">
      <c r="A46" s="8" t="inlineStr">
        <is>
          <t>Niger</t>
        </is>
      </c>
      <c r="B46" s="8" t="inlineStr">
        <is>
          <t>West Africa</t>
        </is>
      </c>
      <c r="C46" s="8" t="n">
        <v>34.3</v>
      </c>
      <c r="D46" s="8" t="inlineStr">
        <is>
          <t>Phase 1</t>
        </is>
      </c>
      <c r="E46" s="8" t="n">
        <v>34.2</v>
      </c>
      <c r="F46" s="8" t="n">
        <v>34.1</v>
      </c>
      <c r="G46" s="8" t="n">
        <v>34.4</v>
      </c>
      <c r="H46" s="8" t="n">
        <v>32.3</v>
      </c>
      <c r="I46" s="8" t="n">
        <v>35.7</v>
      </c>
      <c r="J46" s="8" t="n">
        <v>35.6</v>
      </c>
      <c r="K46" s="8" t="n">
        <v>34.5</v>
      </c>
      <c r="L46" s="8" t="n">
        <v>33.6</v>
      </c>
      <c r="M46" s="8" t="n">
        <v>34.3</v>
      </c>
      <c r="N46" s="8" t="n">
        <v>3.4</v>
      </c>
      <c r="O46" s="8" t="inlineStr">
        <is>
          <t>YES</t>
        </is>
      </c>
    </row>
    <row r="47">
      <c r="A47" s="6" t="inlineStr">
        <is>
          <t>Guinea-Bissau</t>
        </is>
      </c>
      <c r="B47" s="6" t="inlineStr">
        <is>
          <t>West Africa</t>
        </is>
      </c>
      <c r="C47" s="6" t="n">
        <v>34.3</v>
      </c>
      <c r="D47" s="6" t="inlineStr">
        <is>
          <t>Phase 1</t>
        </is>
      </c>
      <c r="E47" s="6" t="n">
        <v>34.2</v>
      </c>
      <c r="F47" s="6" t="n">
        <v>34.1</v>
      </c>
      <c r="G47" s="6" t="n">
        <v>34.4</v>
      </c>
      <c r="H47" s="6" t="n">
        <v>32.3</v>
      </c>
      <c r="I47" s="6" t="n">
        <v>35.7</v>
      </c>
      <c r="J47" s="6" t="n">
        <v>35.6</v>
      </c>
      <c r="K47" s="6" t="n">
        <v>34.5</v>
      </c>
      <c r="L47" s="6" t="n">
        <v>33.6</v>
      </c>
      <c r="M47" s="6" t="n">
        <v>34.3</v>
      </c>
      <c r="N47" s="6" t="n">
        <v>3.4</v>
      </c>
      <c r="O47" s="6" t="inlineStr">
        <is>
          <t>YES</t>
        </is>
      </c>
    </row>
    <row r="48">
      <c r="A48" s="8" t="inlineStr">
        <is>
          <t>Burundi</t>
        </is>
      </c>
      <c r="B48" s="8" t="inlineStr">
        <is>
          <t>East Africa</t>
        </is>
      </c>
      <c r="C48" s="8" t="n">
        <v>33.8</v>
      </c>
      <c r="D48" s="8" t="inlineStr">
        <is>
          <t>Phase 1</t>
        </is>
      </c>
      <c r="E48" s="8" t="n">
        <v>33.8</v>
      </c>
      <c r="F48" s="8" t="n">
        <v>33.8</v>
      </c>
      <c r="G48" s="8" t="n">
        <v>33.9</v>
      </c>
      <c r="H48" s="8" t="n">
        <v>32.7</v>
      </c>
      <c r="I48" s="8" t="n">
        <v>36.1</v>
      </c>
      <c r="J48" s="8" t="n">
        <v>32.9</v>
      </c>
      <c r="K48" s="8" t="n">
        <v>34.8</v>
      </c>
      <c r="L48" s="8" t="n">
        <v>33.3</v>
      </c>
      <c r="M48" s="8" t="n">
        <v>33.8</v>
      </c>
      <c r="N48" s="8" t="n">
        <v>3.4</v>
      </c>
      <c r="O48" s="8" t="inlineStr">
        <is>
          <t>YES</t>
        </is>
      </c>
    </row>
    <row r="49">
      <c r="A49" s="6" t="inlineStr">
        <is>
          <t>South Sudan</t>
        </is>
      </c>
      <c r="B49" s="6" t="inlineStr">
        <is>
          <t>East Africa</t>
        </is>
      </c>
      <c r="C49" s="6" t="n">
        <v>33.6</v>
      </c>
      <c r="D49" s="6" t="inlineStr">
        <is>
          <t>Phase 1</t>
        </is>
      </c>
      <c r="E49" s="6" t="n">
        <v>33.6</v>
      </c>
      <c r="F49" s="6" t="n">
        <v>33.6</v>
      </c>
      <c r="G49" s="6" t="n">
        <v>33.6</v>
      </c>
      <c r="H49" s="6" t="n">
        <v>30.7</v>
      </c>
      <c r="I49" s="6" t="n">
        <v>35.8</v>
      </c>
      <c r="J49" s="6" t="n">
        <v>35.6</v>
      </c>
      <c r="K49" s="6" t="n">
        <v>34.6</v>
      </c>
      <c r="L49" s="6" t="n">
        <v>32</v>
      </c>
      <c r="M49" s="6" t="n">
        <v>33.9</v>
      </c>
      <c r="N49" s="6" t="n">
        <v>5.1</v>
      </c>
      <c r="O49" s="11" t="inlineStr">
        <is>
          <t>CAUTION</t>
        </is>
      </c>
    </row>
    <row r="50">
      <c r="A50" s="8" t="inlineStr">
        <is>
          <t>Guinea</t>
        </is>
      </c>
      <c r="B50" s="8" t="inlineStr">
        <is>
          <t>West Africa</t>
        </is>
      </c>
      <c r="C50" s="8" t="n">
        <v>33.1</v>
      </c>
      <c r="D50" s="8" t="inlineStr">
        <is>
          <t>Phase 1</t>
        </is>
      </c>
      <c r="E50" s="8" t="n">
        <v>33.1</v>
      </c>
      <c r="F50" s="8" t="n">
        <v>33.5</v>
      </c>
      <c r="G50" s="8" t="n">
        <v>32.8</v>
      </c>
      <c r="H50" s="8" t="n">
        <v>32</v>
      </c>
      <c r="I50" s="8" t="n">
        <v>34.5</v>
      </c>
      <c r="J50" s="8" t="n">
        <v>33.4</v>
      </c>
      <c r="K50" s="8" t="n">
        <v>33.9</v>
      </c>
      <c r="L50" s="8" t="n">
        <v>32.7</v>
      </c>
      <c r="M50" s="8" t="n">
        <v>33.1</v>
      </c>
      <c r="N50" s="8" t="n">
        <v>2.6</v>
      </c>
      <c r="O50" s="8" t="inlineStr">
        <is>
          <t>YES</t>
        </is>
      </c>
    </row>
    <row r="51">
      <c r="A51" s="6" t="inlineStr">
        <is>
          <t>Somalia</t>
        </is>
      </c>
      <c r="B51" s="6" t="inlineStr">
        <is>
          <t>East Africa</t>
        </is>
      </c>
      <c r="C51" s="6" t="n">
        <v>32.9</v>
      </c>
      <c r="D51" s="6" t="inlineStr">
        <is>
          <t>Phase 1</t>
        </is>
      </c>
      <c r="E51" s="6" t="n">
        <v>32.9</v>
      </c>
      <c r="F51" s="6" t="n">
        <v>33.1</v>
      </c>
      <c r="G51" s="6" t="n">
        <v>32.7</v>
      </c>
      <c r="H51" s="6" t="n">
        <v>30</v>
      </c>
      <c r="I51" s="6" t="n">
        <v>35.1</v>
      </c>
      <c r="J51" s="6" t="n">
        <v>34.9</v>
      </c>
      <c r="K51" s="6" t="n">
        <v>34.1</v>
      </c>
      <c r="L51" s="6" t="n">
        <v>31</v>
      </c>
      <c r="M51" s="6" t="n">
        <v>33.2</v>
      </c>
      <c r="N51" s="6" t="n">
        <v>5.1</v>
      </c>
      <c r="O51" s="11" t="inlineStr">
        <is>
          <t>CAUTION</t>
        </is>
      </c>
    </row>
    <row r="52">
      <c r="A52" s="8" t="inlineStr">
        <is>
          <t>CAR</t>
        </is>
      </c>
      <c r="B52" s="8" t="inlineStr">
        <is>
          <t>Central Africa</t>
        </is>
      </c>
      <c r="C52" s="8" t="n">
        <v>32.3</v>
      </c>
      <c r="D52" s="8" t="inlineStr">
        <is>
          <t>Phase 1</t>
        </is>
      </c>
      <c r="E52" s="8" t="n">
        <v>32.3</v>
      </c>
      <c r="F52" s="8" t="n">
        <v>32.1</v>
      </c>
      <c r="G52" s="8" t="n">
        <v>32.5</v>
      </c>
      <c r="H52" s="8" t="n">
        <v>30.1</v>
      </c>
      <c r="I52" s="8" t="n">
        <v>34</v>
      </c>
      <c r="J52" s="8" t="n">
        <v>33.8</v>
      </c>
      <c r="K52" s="8" t="n">
        <v>32.1</v>
      </c>
      <c r="L52" s="8" t="n">
        <v>32.2</v>
      </c>
      <c r="M52" s="8" t="n">
        <v>32</v>
      </c>
      <c r="N52" s="8" t="n">
        <v>3.8</v>
      </c>
      <c r="O52" s="8" t="inlineStr">
        <is>
          <t>YES</t>
        </is>
      </c>
    </row>
    <row r="53">
      <c r="A53" s="6" t="inlineStr">
        <is>
          <t>Chad</t>
        </is>
      </c>
      <c r="B53" s="6" t="inlineStr">
        <is>
          <t>Central Africa</t>
        </is>
      </c>
      <c r="C53" s="6" t="n">
        <v>32.3</v>
      </c>
      <c r="D53" s="6" t="inlineStr">
        <is>
          <t>Phase 1</t>
        </is>
      </c>
      <c r="E53" s="6" t="n">
        <v>32.3</v>
      </c>
      <c r="F53" s="6" t="n">
        <v>32.3</v>
      </c>
      <c r="G53" s="6" t="n">
        <v>32.3</v>
      </c>
      <c r="H53" s="6" t="n">
        <v>30.5</v>
      </c>
      <c r="I53" s="6" t="n">
        <v>33.7</v>
      </c>
      <c r="J53" s="6" t="n">
        <v>33.5</v>
      </c>
      <c r="K53" s="6" t="n">
        <v>32.2</v>
      </c>
      <c r="L53" s="6" t="n">
        <v>32.1</v>
      </c>
      <c r="M53" s="6" t="n">
        <v>32.1</v>
      </c>
      <c r="N53" s="6" t="n">
        <v>3.2</v>
      </c>
      <c r="O53" s="6" t="inlineStr">
        <is>
          <t>YES</t>
        </is>
      </c>
    </row>
    <row r="54">
      <c r="A54" s="8" t="inlineStr">
        <is>
          <t>Mali</t>
        </is>
      </c>
      <c r="B54" s="8" t="inlineStr">
        <is>
          <t>West Africa</t>
        </is>
      </c>
      <c r="C54" s="8" t="n">
        <v>30.2</v>
      </c>
      <c r="D54" s="8" t="inlineStr">
        <is>
          <t>Phase 1</t>
        </is>
      </c>
      <c r="E54" s="8" t="n">
        <v>30.2</v>
      </c>
      <c r="F54" s="8" t="n">
        <v>30.6</v>
      </c>
      <c r="G54" s="8" t="n">
        <v>29.7</v>
      </c>
      <c r="H54" s="8" t="n">
        <v>28.8</v>
      </c>
      <c r="I54" s="8" t="n">
        <v>32</v>
      </c>
      <c r="J54" s="8" t="n">
        <v>30.2</v>
      </c>
      <c r="K54" s="8" t="n">
        <v>31.3</v>
      </c>
      <c r="L54" s="8" t="n">
        <v>29.5</v>
      </c>
      <c r="M54" s="8" t="n">
        <v>30.2</v>
      </c>
      <c r="N54" s="8" t="n">
        <v>3.2</v>
      </c>
      <c r="O54" s="8" t="inlineStr">
        <is>
          <t>YES</t>
        </is>
      </c>
    </row>
    <row r="55">
      <c r="A55" s="6" t="inlineStr">
        <is>
          <t>Burkina Faso</t>
        </is>
      </c>
      <c r="B55" s="6" t="inlineStr">
        <is>
          <t>West Africa</t>
        </is>
      </c>
      <c r="C55" s="6" t="n">
        <v>28.5</v>
      </c>
      <c r="D55" s="6" t="inlineStr">
        <is>
          <t>Phase 1</t>
        </is>
      </c>
      <c r="E55" s="6" t="n">
        <v>28.5</v>
      </c>
      <c r="F55" s="6" t="n">
        <v>29</v>
      </c>
      <c r="G55" s="6" t="n">
        <v>28</v>
      </c>
      <c r="H55" s="6" t="n">
        <v>27</v>
      </c>
      <c r="I55" s="6" t="n">
        <v>30.6</v>
      </c>
      <c r="J55" s="6" t="n">
        <v>28.5</v>
      </c>
      <c r="K55" s="6" t="n">
        <v>29.9</v>
      </c>
      <c r="L55" s="6" t="n">
        <v>27.7</v>
      </c>
      <c r="M55" s="6" t="n">
        <v>28.6</v>
      </c>
      <c r="N55" s="6" t="n">
        <v>3.7</v>
      </c>
      <c r="O55" s="6" t="inlineStr">
        <is>
          <t>YES</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8"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MISSING-DATA IMPUTATION SENSITIVITY | Flag 3=Red | Flag 2=Yellow | Flag 1=Light | v5</t>
        </is>
      </c>
    </row>
    <row r="2" ht="36" customHeight="1">
      <c r="A2" s="5" t="inlineStr">
        <is>
          <t>Country</t>
        </is>
      </c>
      <c r="B2" s="5" t="inlineStr">
        <is>
          <t>Region</t>
        </is>
      </c>
      <c r="C2" s="5" t="inlineStr">
        <is>
          <t>Missing
Flag</t>
        </is>
      </c>
      <c r="D2" s="5" t="inlineStr">
        <is>
          <t>Regional Mean (Baseline)</t>
        </is>
      </c>
      <c r="E2" s="5" t="inlineStr">
        <is>
          <t>Conservative (75% Regional)</t>
        </is>
      </c>
      <c r="F2" s="5" t="inlineStr">
        <is>
          <t>Global Mean</t>
        </is>
      </c>
      <c r="G2" s="5" t="inlineStr">
        <is>
          <t>Worst-Case (Zero)</t>
        </is>
      </c>
      <c r="H2" s="5" t="inlineStr">
        <is>
          <t>No Penalty Applied</t>
        </is>
      </c>
      <c r="I2" s="5" t="inlineStr">
        <is>
          <t>Impute
Swing</t>
        </is>
      </c>
      <c r="J2" s="5" t="inlineStr">
        <is>
          <t>Provisional?</t>
        </is>
      </c>
    </row>
    <row r="3">
      <c r="A3" s="6" t="inlineStr">
        <is>
          <t>Libya</t>
        </is>
      </c>
      <c r="B3" s="6" t="inlineStr">
        <is>
          <t>North Africa</t>
        </is>
      </c>
      <c r="C3" s="15" t="n">
        <v>2</v>
      </c>
      <c r="D3" s="6" t="n">
        <v>44.7</v>
      </c>
      <c r="E3" s="6" t="n">
        <v>36.4</v>
      </c>
      <c r="F3" s="6" t="n">
        <v>39.3</v>
      </c>
      <c r="G3" s="6" t="n">
        <v>11.7</v>
      </c>
      <c r="H3" s="6" t="n">
        <v>48.6</v>
      </c>
      <c r="I3" s="6" t="n">
        <v>36.8</v>
      </c>
      <c r="J3" s="15" t="inlineStr">
        <is>
          <t>YES</t>
        </is>
      </c>
    </row>
    <row r="4">
      <c r="A4" s="8" t="inlineStr">
        <is>
          <t>Mauritania</t>
        </is>
      </c>
      <c r="B4" s="8" t="inlineStr">
        <is>
          <t>North Africa</t>
        </is>
      </c>
      <c r="C4" s="17" t="n">
        <v>1</v>
      </c>
      <c r="D4" s="8" t="n">
        <v>44.3</v>
      </c>
      <c r="E4" s="8" t="n">
        <v>40.1</v>
      </c>
      <c r="F4" s="8" t="n">
        <v>41.6</v>
      </c>
      <c r="G4" s="8" t="n">
        <v>27.4</v>
      </c>
      <c r="H4" s="8" t="n">
        <v>45.7</v>
      </c>
      <c r="I4" s="8" t="n">
        <v>18.3</v>
      </c>
      <c r="J4" s="15" t="inlineStr">
        <is>
          <t>YES</t>
        </is>
      </c>
    </row>
    <row r="5">
      <c r="A5" s="6" t="inlineStr">
        <is>
          <t>Mali</t>
        </is>
      </c>
      <c r="B5" s="6" t="inlineStr">
        <is>
          <t>West Africa</t>
        </is>
      </c>
      <c r="C5" s="17" t="n">
        <v>1</v>
      </c>
      <c r="D5" s="6" t="n">
        <v>30.2</v>
      </c>
      <c r="E5" s="6" t="n">
        <v>26.9</v>
      </c>
      <c r="F5" s="6" t="n">
        <v>31.4</v>
      </c>
      <c r="G5" s="6" t="n">
        <v>17.1</v>
      </c>
      <c r="H5" s="6" t="n">
        <v>31.1</v>
      </c>
      <c r="I5" s="6" t="n">
        <v>14.2</v>
      </c>
      <c r="J5" s="6" t="inlineStr">
        <is>
          <t>—</t>
        </is>
      </c>
    </row>
    <row r="6">
      <c r="A6" s="8" t="inlineStr">
        <is>
          <t>Burkina Faso</t>
        </is>
      </c>
      <c r="B6" s="8" t="inlineStr">
        <is>
          <t>West Africa</t>
        </is>
      </c>
      <c r="C6" s="17" t="n">
        <v>1</v>
      </c>
      <c r="D6" s="8" t="n">
        <v>28.5</v>
      </c>
      <c r="E6" s="8" t="n">
        <v>25.3</v>
      </c>
      <c r="F6" s="8" t="n">
        <v>29.7</v>
      </c>
      <c r="G6" s="8" t="n">
        <v>15.5</v>
      </c>
      <c r="H6" s="8" t="n">
        <v>29.4</v>
      </c>
      <c r="I6" s="8" t="n">
        <v>14.2</v>
      </c>
      <c r="J6" s="8" t="inlineStr">
        <is>
          <t>—</t>
        </is>
      </c>
    </row>
    <row r="7">
      <c r="A7" s="6" t="inlineStr">
        <is>
          <t>Guinea</t>
        </is>
      </c>
      <c r="B7" s="6" t="inlineStr">
        <is>
          <t>West Africa</t>
        </is>
      </c>
      <c r="C7" s="17" t="n">
        <v>1</v>
      </c>
      <c r="D7" s="6" t="n">
        <v>33.2</v>
      </c>
      <c r="E7" s="6" t="n">
        <v>29.9</v>
      </c>
      <c r="F7" s="6" t="n">
        <v>34.3</v>
      </c>
      <c r="G7" s="6" t="n">
        <v>20.1</v>
      </c>
      <c r="H7" s="6" t="n">
        <v>34.2</v>
      </c>
      <c r="I7" s="6" t="n">
        <v>14.2</v>
      </c>
      <c r="J7" s="6" t="inlineStr">
        <is>
          <t>—</t>
        </is>
      </c>
    </row>
    <row r="8">
      <c r="A8" s="8" t="inlineStr">
        <is>
          <t>Niger</t>
        </is>
      </c>
      <c r="B8" s="8" t="inlineStr">
        <is>
          <t>West Africa</t>
        </is>
      </c>
      <c r="C8" s="15" t="n">
        <v>2</v>
      </c>
      <c r="D8" s="8" t="n">
        <v>34.3</v>
      </c>
      <c r="E8" s="8" t="n">
        <v>27.9</v>
      </c>
      <c r="F8" s="8" t="n">
        <v>36.5</v>
      </c>
      <c r="G8" s="8" t="n">
        <v>8.9</v>
      </c>
      <c r="H8" s="8" t="n">
        <v>37.2</v>
      </c>
      <c r="I8" s="8" t="n">
        <v>28.3</v>
      </c>
      <c r="J8" s="15" t="inlineStr">
        <is>
          <t>YES</t>
        </is>
      </c>
    </row>
    <row r="9">
      <c r="A9" s="6" t="inlineStr">
        <is>
          <t>Sierra Leone</t>
        </is>
      </c>
      <c r="B9" s="6" t="inlineStr">
        <is>
          <t>West Africa</t>
        </is>
      </c>
      <c r="C9" s="17" t="n">
        <v>1</v>
      </c>
      <c r="D9" s="6" t="n">
        <v>37.9</v>
      </c>
      <c r="E9" s="6" t="n">
        <v>34.7</v>
      </c>
      <c r="F9" s="6" t="n">
        <v>39.1</v>
      </c>
      <c r="G9" s="6" t="n">
        <v>24.9</v>
      </c>
      <c r="H9" s="6" t="n">
        <v>39.1</v>
      </c>
      <c r="I9" s="6" t="n">
        <v>14.2</v>
      </c>
      <c r="J9" s="6" t="inlineStr">
        <is>
          <t>—</t>
        </is>
      </c>
    </row>
    <row r="10">
      <c r="A10" s="8" t="inlineStr">
        <is>
          <t>Liberia</t>
        </is>
      </c>
      <c r="B10" s="8" t="inlineStr">
        <is>
          <t>West Africa</t>
        </is>
      </c>
      <c r="C10" s="17" t="n">
        <v>1</v>
      </c>
      <c r="D10" s="8" t="n">
        <v>36.4</v>
      </c>
      <c r="E10" s="8" t="n">
        <v>33.2</v>
      </c>
      <c r="F10" s="8" t="n">
        <v>37.6</v>
      </c>
      <c r="G10" s="8" t="n">
        <v>23.4</v>
      </c>
      <c r="H10" s="8" t="n">
        <v>37.6</v>
      </c>
      <c r="I10" s="8" t="n">
        <v>14.3</v>
      </c>
      <c r="J10" s="8" t="inlineStr">
        <is>
          <t>—</t>
        </is>
      </c>
    </row>
    <row r="11">
      <c r="A11" s="6" t="inlineStr">
        <is>
          <t>Guinea-Bissau</t>
        </is>
      </c>
      <c r="B11" s="6" t="inlineStr">
        <is>
          <t>West Africa</t>
        </is>
      </c>
      <c r="C11" s="15" t="n">
        <v>2</v>
      </c>
      <c r="D11" s="6" t="n">
        <v>34.3</v>
      </c>
      <c r="E11" s="6" t="n">
        <v>27.9</v>
      </c>
      <c r="F11" s="6" t="n">
        <v>36.5</v>
      </c>
      <c r="G11" s="6" t="n">
        <v>8.9</v>
      </c>
      <c r="H11" s="6" t="n">
        <v>37.2</v>
      </c>
      <c r="I11" s="6" t="n">
        <v>28.3</v>
      </c>
      <c r="J11" s="15" t="inlineStr">
        <is>
          <t>YES</t>
        </is>
      </c>
    </row>
    <row r="12">
      <c r="A12" s="8" t="inlineStr">
        <is>
          <t>Gambia</t>
        </is>
      </c>
      <c r="B12" s="8" t="inlineStr">
        <is>
          <t>West Africa</t>
        </is>
      </c>
      <c r="C12" s="17" t="n">
        <v>1</v>
      </c>
      <c r="D12" s="8" t="n">
        <v>34.6</v>
      </c>
      <c r="E12" s="8" t="n">
        <v>31.4</v>
      </c>
      <c r="F12" s="8" t="n">
        <v>35.8</v>
      </c>
      <c r="G12" s="8" t="n">
        <v>21.6</v>
      </c>
      <c r="H12" s="8" t="n">
        <v>35.7</v>
      </c>
      <c r="I12" s="8" t="n">
        <v>14.2</v>
      </c>
      <c r="J12" s="8" t="inlineStr">
        <is>
          <t>—</t>
        </is>
      </c>
    </row>
    <row r="13">
      <c r="A13" s="6" t="inlineStr">
        <is>
          <t>Somalia</t>
        </is>
      </c>
      <c r="B13" s="6" t="inlineStr">
        <is>
          <t>East Africa</t>
        </is>
      </c>
      <c r="C13" s="15" t="n">
        <v>2</v>
      </c>
      <c r="D13" s="6" t="n">
        <v>32.9</v>
      </c>
      <c r="E13" s="6" t="n">
        <v>26</v>
      </c>
      <c r="F13" s="6" t="n">
        <v>33</v>
      </c>
      <c r="G13" s="6" t="n">
        <v>5.4</v>
      </c>
      <c r="H13" s="6" t="n">
        <v>35.7</v>
      </c>
      <c r="I13" s="6" t="n">
        <v>30.4</v>
      </c>
      <c r="J13" s="15" t="inlineStr">
        <is>
          <t>YES</t>
        </is>
      </c>
    </row>
    <row r="14">
      <c r="A14" s="8" t="inlineStr">
        <is>
          <t>Eritrea</t>
        </is>
      </c>
      <c r="B14" s="8" t="inlineStr">
        <is>
          <t>East Africa</t>
        </is>
      </c>
      <c r="C14" s="18" t="n">
        <v>3</v>
      </c>
      <c r="D14" s="8" t="n">
        <v>39.1</v>
      </c>
      <c r="E14" s="8" t="n">
        <v>29.3</v>
      </c>
      <c r="F14" s="8" t="n">
        <v>38.8</v>
      </c>
      <c r="G14" s="8" t="n">
        <v>0</v>
      </c>
      <c r="H14" s="8" t="n">
        <v>46</v>
      </c>
      <c r="I14" s="8" t="n">
        <v>46</v>
      </c>
      <c r="J14" s="15" t="inlineStr">
        <is>
          <t>YES</t>
        </is>
      </c>
    </row>
    <row r="15">
      <c r="A15" s="6" t="inlineStr">
        <is>
          <t>Djibouti</t>
        </is>
      </c>
      <c r="B15" s="6" t="inlineStr">
        <is>
          <t>East Africa</t>
        </is>
      </c>
      <c r="C15" s="17" t="n">
        <v>1</v>
      </c>
      <c r="D15" s="6" t="n">
        <v>44.2</v>
      </c>
      <c r="E15" s="6" t="n">
        <v>40.6</v>
      </c>
      <c r="F15" s="6" t="n">
        <v>44</v>
      </c>
      <c r="G15" s="6" t="n">
        <v>29.7</v>
      </c>
      <c r="H15" s="6" t="n">
        <v>45.5</v>
      </c>
      <c r="I15" s="6" t="n">
        <v>15.8</v>
      </c>
      <c r="J15" s="15" t="inlineStr">
        <is>
          <t>YES</t>
        </is>
      </c>
    </row>
    <row r="16">
      <c r="A16" s="8" t="inlineStr">
        <is>
          <t>Sudan</t>
        </is>
      </c>
      <c r="B16" s="8" t="inlineStr">
        <is>
          <t>East Africa</t>
        </is>
      </c>
      <c r="C16" s="15" t="n">
        <v>2</v>
      </c>
      <c r="D16" s="8" t="n">
        <v>36.5</v>
      </c>
      <c r="E16" s="8" t="n">
        <v>29.6</v>
      </c>
      <c r="F16" s="8" t="n">
        <v>36.6</v>
      </c>
      <c r="G16" s="8" t="n">
        <v>9</v>
      </c>
      <c r="H16" s="8" t="n">
        <v>39.7</v>
      </c>
      <c r="I16" s="8" t="n">
        <v>30.7</v>
      </c>
      <c r="J16" s="15" t="inlineStr">
        <is>
          <t>YES</t>
        </is>
      </c>
    </row>
    <row r="17">
      <c r="A17" s="6" t="inlineStr">
        <is>
          <t>South Sudan</t>
        </is>
      </c>
      <c r="B17" s="6" t="inlineStr">
        <is>
          <t>East Africa</t>
        </is>
      </c>
      <c r="C17" s="15" t="n">
        <v>2</v>
      </c>
      <c r="D17" s="6" t="n">
        <v>33.6</v>
      </c>
      <c r="E17" s="6" t="n">
        <v>26.7</v>
      </c>
      <c r="F17" s="6" t="n">
        <v>33.7</v>
      </c>
      <c r="G17" s="6" t="n">
        <v>6.1</v>
      </c>
      <c r="H17" s="6" t="n">
        <v>36.5</v>
      </c>
      <c r="I17" s="6" t="n">
        <v>30.4</v>
      </c>
      <c r="J17" s="15" t="inlineStr">
        <is>
          <t>YES</t>
        </is>
      </c>
    </row>
    <row r="18">
      <c r="A18" s="8" t="inlineStr">
        <is>
          <t>Burundi</t>
        </is>
      </c>
      <c r="B18" s="8" t="inlineStr">
        <is>
          <t>East Africa</t>
        </is>
      </c>
      <c r="C18" s="17" t="n">
        <v>1</v>
      </c>
      <c r="D18" s="8" t="n">
        <v>33.8</v>
      </c>
      <c r="E18" s="8" t="n">
        <v>30.2</v>
      </c>
      <c r="F18" s="8" t="n">
        <v>33.6</v>
      </c>
      <c r="G18" s="8" t="n">
        <v>19.4</v>
      </c>
      <c r="H18" s="8" t="n">
        <v>34.9</v>
      </c>
      <c r="I18" s="8" t="n">
        <v>15.5</v>
      </c>
      <c r="J18" s="15" t="inlineStr">
        <is>
          <t>YES</t>
        </is>
      </c>
    </row>
    <row r="19">
      <c r="A19" s="6" t="inlineStr">
        <is>
          <t>Comoros</t>
        </is>
      </c>
      <c r="B19" s="6" t="inlineStr">
        <is>
          <t>East Africa</t>
        </is>
      </c>
      <c r="C19" s="15" t="n">
        <v>2</v>
      </c>
      <c r="D19" s="6" t="n">
        <v>38.3</v>
      </c>
      <c r="E19" s="6" t="n">
        <v>31.5</v>
      </c>
      <c r="F19" s="6" t="n">
        <v>38.4</v>
      </c>
      <c r="G19" s="6" t="n">
        <v>10.9</v>
      </c>
      <c r="H19" s="6" t="n">
        <v>41.7</v>
      </c>
      <c r="I19" s="6" t="n">
        <v>30.8</v>
      </c>
      <c r="J19" s="15" t="inlineStr">
        <is>
          <t>YES</t>
        </is>
      </c>
    </row>
    <row r="20">
      <c r="A20" s="8" t="inlineStr">
        <is>
          <t>DR Congo</t>
        </is>
      </c>
      <c r="B20" s="8" t="inlineStr">
        <is>
          <t>Central Africa</t>
        </is>
      </c>
      <c r="C20" s="17" t="n">
        <v>1</v>
      </c>
      <c r="D20" s="8" t="n">
        <v>36</v>
      </c>
      <c r="E20" s="8" t="n">
        <v>33</v>
      </c>
      <c r="F20" s="8" t="n">
        <v>38.3</v>
      </c>
      <c r="G20" s="8" t="n">
        <v>24.1</v>
      </c>
      <c r="H20" s="8" t="n">
        <v>37.1</v>
      </c>
      <c r="I20" s="8" t="n">
        <v>14.3</v>
      </c>
      <c r="J20" s="8" t="inlineStr">
        <is>
          <t>—</t>
        </is>
      </c>
    </row>
    <row r="21">
      <c r="A21" s="6" t="inlineStr">
        <is>
          <t>Chad</t>
        </is>
      </c>
      <c r="B21" s="6" t="inlineStr">
        <is>
          <t>Central Africa</t>
        </is>
      </c>
      <c r="C21" s="15" t="n">
        <v>2</v>
      </c>
      <c r="D21" s="6" t="n">
        <v>32.3</v>
      </c>
      <c r="E21" s="6" t="n">
        <v>26.4</v>
      </c>
      <c r="F21" s="6" t="n">
        <v>36.5</v>
      </c>
      <c r="G21" s="6" t="n">
        <v>8.9</v>
      </c>
      <c r="H21" s="6" t="n">
        <v>35.1</v>
      </c>
      <c r="I21" s="6" t="n">
        <v>27.6</v>
      </c>
      <c r="J21" s="15" t="inlineStr">
        <is>
          <t>YES</t>
        </is>
      </c>
    </row>
    <row r="22">
      <c r="A22" s="8" t="inlineStr">
        <is>
          <t>CAR</t>
        </is>
      </c>
      <c r="B22" s="8" t="inlineStr">
        <is>
          <t>Central Africa</t>
        </is>
      </c>
      <c r="C22" s="15" t="n">
        <v>2</v>
      </c>
      <c r="D22" s="8" t="n">
        <v>32.3</v>
      </c>
      <c r="E22" s="8" t="n">
        <v>26.4</v>
      </c>
      <c r="F22" s="8" t="n">
        <v>36.5</v>
      </c>
      <c r="G22" s="8" t="n">
        <v>8.9</v>
      </c>
      <c r="H22" s="8" t="n">
        <v>35.1</v>
      </c>
      <c r="I22" s="8" t="n">
        <v>27.6</v>
      </c>
      <c r="J22" s="15" t="inlineStr">
        <is>
          <t>YES</t>
        </is>
      </c>
    </row>
    <row r="23">
      <c r="A23" s="6" t="inlineStr">
        <is>
          <t>Congo</t>
        </is>
      </c>
      <c r="B23" s="6" t="inlineStr">
        <is>
          <t>Central Africa</t>
        </is>
      </c>
      <c r="C23" s="17" t="n">
        <v>1</v>
      </c>
      <c r="D23" s="6" t="n">
        <v>38.8</v>
      </c>
      <c r="E23" s="6" t="n">
        <v>35.8</v>
      </c>
      <c r="F23" s="6" t="n">
        <v>41.1</v>
      </c>
      <c r="G23" s="6" t="n">
        <v>26.8</v>
      </c>
      <c r="H23" s="6" t="n">
        <v>40</v>
      </c>
      <c r="I23" s="6" t="n">
        <v>14.3</v>
      </c>
      <c r="J23" s="6" t="inlineStr">
        <is>
          <t>—</t>
        </is>
      </c>
    </row>
    <row r="24">
      <c r="A24" s="8" t="inlineStr">
        <is>
          <t>Equatorial Guinea</t>
        </is>
      </c>
      <c r="B24" s="8" t="inlineStr">
        <is>
          <t>Central Africa</t>
        </is>
      </c>
      <c r="C24" s="17" t="n">
        <v>1</v>
      </c>
      <c r="D24" s="8" t="n">
        <v>37</v>
      </c>
      <c r="E24" s="8" t="n">
        <v>34.1</v>
      </c>
      <c r="F24" s="8" t="n">
        <v>39.4</v>
      </c>
      <c r="G24" s="8" t="n">
        <v>25.1</v>
      </c>
      <c r="H24" s="8" t="n">
        <v>38.2</v>
      </c>
      <c r="I24" s="8" t="n">
        <v>14.2</v>
      </c>
      <c r="J24" s="8" t="inlineStr">
        <is>
          <t>—</t>
        </is>
      </c>
    </row>
    <row r="25">
      <c r="A25" s="6" t="inlineStr">
        <is>
          <t>São Tomé</t>
        </is>
      </c>
      <c r="B25" s="6" t="inlineStr">
        <is>
          <t>Central Africa</t>
        </is>
      </c>
      <c r="C25" s="17" t="n">
        <v>1</v>
      </c>
      <c r="D25" s="6" t="n">
        <v>36.7</v>
      </c>
      <c r="E25" s="6" t="n">
        <v>33.7</v>
      </c>
      <c r="F25" s="6" t="n">
        <v>39</v>
      </c>
      <c r="G25" s="6" t="n">
        <v>24.8</v>
      </c>
      <c r="H25" s="6" t="n">
        <v>37.8</v>
      </c>
      <c r="I25" s="6" t="n">
        <v>14.2</v>
      </c>
      <c r="J25" s="6" t="inlineStr">
        <is>
          <t>—</t>
        </is>
      </c>
    </row>
    <row r="26">
      <c r="A26" s="8" t="inlineStr">
        <is>
          <t>Zimbabwe</t>
        </is>
      </c>
      <c r="B26" s="8" t="inlineStr">
        <is>
          <t>Southern Africa</t>
        </is>
      </c>
      <c r="C26" s="17" t="n">
        <v>1</v>
      </c>
      <c r="D26" s="8" t="n">
        <v>41.2</v>
      </c>
      <c r="E26" s="8" t="n">
        <v>37.2</v>
      </c>
      <c r="F26" s="8" t="n">
        <v>39.5</v>
      </c>
      <c r="G26" s="8" t="n">
        <v>25.2</v>
      </c>
      <c r="H26" s="8" t="n">
        <v>42.5</v>
      </c>
      <c r="I26" s="8" t="n">
        <v>17.3</v>
      </c>
      <c r="J26" s="15" t="inlineStr">
        <is>
          <t>YES</t>
        </is>
      </c>
    </row>
    <row r="27">
      <c r="A27" s="6" t="inlineStr">
        <is>
          <t>Mozambique</t>
        </is>
      </c>
      <c r="B27" s="6" t="inlineStr">
        <is>
          <t>Southern Africa</t>
        </is>
      </c>
      <c r="C27" s="17" t="n">
        <v>1</v>
      </c>
      <c r="D27" s="6" t="n">
        <v>42.9</v>
      </c>
      <c r="E27" s="6" t="n">
        <v>38.9</v>
      </c>
      <c r="F27" s="6" t="n">
        <v>41.1</v>
      </c>
      <c r="G27" s="6" t="n">
        <v>26.9</v>
      </c>
      <c r="H27" s="6" t="n">
        <v>44.2</v>
      </c>
      <c r="I27" s="6" t="n">
        <v>17.3</v>
      </c>
      <c r="J27" s="15" t="inlineStr">
        <is>
          <t>YES</t>
        </is>
      </c>
    </row>
    <row r="28">
      <c r="A28" s="8" t="inlineStr">
        <is>
          <t>Madagascar</t>
        </is>
      </c>
      <c r="B28" s="8" t="inlineStr">
        <is>
          <t>Southern Africa</t>
        </is>
      </c>
      <c r="C28" s="17" t="n">
        <v>1</v>
      </c>
      <c r="D28" s="8" t="n">
        <v>42</v>
      </c>
      <c r="E28" s="8" t="n">
        <v>38</v>
      </c>
      <c r="F28" s="8" t="n">
        <v>40.2</v>
      </c>
      <c r="G28" s="8" t="n">
        <v>26</v>
      </c>
      <c r="H28" s="8" t="n">
        <v>43.3</v>
      </c>
      <c r="I28" s="8" t="n">
        <v>17.3</v>
      </c>
      <c r="J28" s="15" t="inlineStr">
        <is>
          <t>YES</t>
        </is>
      </c>
    </row>
    <row r="29">
      <c r="A29" s="6" t="inlineStr">
        <is>
          <t>Lesotho</t>
        </is>
      </c>
      <c r="B29" s="6" t="inlineStr">
        <is>
          <t>Southern Africa</t>
        </is>
      </c>
      <c r="C29" s="17" t="n">
        <v>1</v>
      </c>
      <c r="D29" s="6" t="n">
        <v>41.3</v>
      </c>
      <c r="E29" s="6" t="n">
        <v>37.3</v>
      </c>
      <c r="F29" s="6" t="n">
        <v>39.5</v>
      </c>
      <c r="G29" s="6" t="n">
        <v>25.3</v>
      </c>
      <c r="H29" s="6" t="n">
        <v>42.6</v>
      </c>
      <c r="I29" s="6" t="n">
        <v>17.3</v>
      </c>
      <c r="J29" s="15" t="inlineStr">
        <is>
          <t>YES</t>
        </is>
      </c>
    </row>
    <row r="30">
      <c r="A30" s="8" t="inlineStr">
        <is>
          <t>Eswatini</t>
        </is>
      </c>
      <c r="B30" s="8" t="inlineStr">
        <is>
          <t>Southern Africa</t>
        </is>
      </c>
      <c r="C30" s="17" t="n">
        <v>1</v>
      </c>
      <c r="D30" s="8" t="n">
        <v>41.4</v>
      </c>
      <c r="E30" s="8" t="n">
        <v>37.4</v>
      </c>
      <c r="F30" s="8" t="n">
        <v>39.7</v>
      </c>
      <c r="G30" s="8" t="n">
        <v>25.4</v>
      </c>
      <c r="H30" s="8" t="n">
        <v>42.7</v>
      </c>
      <c r="I30" s="8" t="n">
        <v>17.3</v>
      </c>
      <c r="J30" s="15" t="inlineStr">
        <is>
          <t>YES</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CUTOFF SENSITIVITY — Phase Boundary ±3/±5 Shifts | Yellow = Boundary Countries | v5</t>
        </is>
      </c>
    </row>
    <row r="2" ht="36" customHeight="1">
      <c r="A2" s="5" t="inlineStr">
        <is>
          <t>Country</t>
        </is>
      </c>
      <c r="B2" s="5" t="inlineStr">
        <is>
          <t>AAI Score</t>
        </is>
      </c>
      <c r="C2" s="5" t="inlineStr">
        <is>
          <t>Baseline Phase</t>
        </is>
      </c>
      <c r="D2" s="5" t="inlineStr">
        <is>
          <t>Standard (81/61/36)</t>
        </is>
      </c>
      <c r="E2" s="5" t="inlineStr">
        <is>
          <t>Relaxed +3 (84/64/39)</t>
        </is>
      </c>
      <c r="F2" s="5" t="inlineStr">
        <is>
          <t>Strict -3 (78/58/33)</t>
        </is>
      </c>
      <c r="G2" s="5" t="inlineStr">
        <is>
          <t>Relaxed +5 (86/66/41)</t>
        </is>
      </c>
      <c r="H2" s="5" t="inlineStr">
        <is>
          <t>Strict -5 (76/56/31)</t>
        </is>
      </c>
      <c r="I2" s="5" t="inlineStr">
        <is>
          <t>Phase
Changes</t>
        </is>
      </c>
      <c r="J2" s="5" t="inlineStr">
        <is>
          <t>Boundary
Proximity</t>
        </is>
      </c>
      <c r="K2" s="5" t="inlineStr">
        <is>
          <t>At-Risk?</t>
        </is>
      </c>
    </row>
    <row r="3">
      <c r="A3" s="6" t="inlineStr">
        <is>
          <t>Algeria</t>
        </is>
      </c>
      <c r="B3" s="6" t="n">
        <v>65</v>
      </c>
      <c r="C3" s="6" t="inlineStr">
        <is>
          <t>Phase 3A</t>
        </is>
      </c>
      <c r="D3" s="6" t="inlineStr">
        <is>
          <t>Phase 3</t>
        </is>
      </c>
      <c r="E3" s="6" t="inlineStr">
        <is>
          <t>Phase 3</t>
        </is>
      </c>
      <c r="F3" s="6" t="inlineStr">
        <is>
          <t>Phase 3</t>
        </is>
      </c>
      <c r="G3" s="6" t="inlineStr">
        <is>
          <t>Phase 2</t>
        </is>
      </c>
      <c r="H3" s="6" t="inlineStr">
        <is>
          <t>Phase 3</t>
        </is>
      </c>
      <c r="I3" s="6" t="n">
        <v>1</v>
      </c>
      <c r="J3" s="6" t="n"/>
      <c r="K3" s="6" t="inlineStr">
        <is>
          <t>—</t>
        </is>
      </c>
    </row>
    <row r="4">
      <c r="A4" s="8" t="inlineStr">
        <is>
          <t>Egypt</t>
        </is>
      </c>
      <c r="B4" s="8" t="n">
        <v>60.8</v>
      </c>
      <c r="C4" s="8" t="inlineStr">
        <is>
          <t>Phase 2</t>
        </is>
      </c>
      <c r="D4" s="8" t="inlineStr">
        <is>
          <t>Phase 2</t>
        </is>
      </c>
      <c r="E4" s="8" t="inlineStr">
        <is>
          <t>Phase 2</t>
        </is>
      </c>
      <c r="F4" s="8" t="inlineStr">
        <is>
          <t>Phase 3</t>
        </is>
      </c>
      <c r="G4" s="8" t="inlineStr">
        <is>
          <t>Phase 2</t>
        </is>
      </c>
      <c r="H4" s="8" t="inlineStr">
        <is>
          <t>Phase 3</t>
        </is>
      </c>
      <c r="I4" s="8" t="n">
        <v>2</v>
      </c>
      <c r="J4" s="8" t="n"/>
      <c r="K4" s="8" t="inlineStr">
        <is>
          <t>—</t>
        </is>
      </c>
    </row>
    <row r="5">
      <c r="A5" s="6" t="inlineStr">
        <is>
          <t>Libya</t>
        </is>
      </c>
      <c r="B5" s="6" t="n">
        <v>44.7</v>
      </c>
      <c r="C5" s="6" t="inlineStr">
        <is>
          <t>Phase 2</t>
        </is>
      </c>
      <c r="D5" s="6" t="inlineStr">
        <is>
          <t>Phase 2</t>
        </is>
      </c>
      <c r="E5" s="6" t="inlineStr">
        <is>
          <t>Phase 2</t>
        </is>
      </c>
      <c r="F5" s="6" t="inlineStr">
        <is>
          <t>Phase 2</t>
        </is>
      </c>
      <c r="G5" s="6" t="inlineStr">
        <is>
          <t>Phase 2</t>
        </is>
      </c>
      <c r="H5" s="6" t="inlineStr">
        <is>
          <t>Phase 2</t>
        </is>
      </c>
      <c r="I5" s="6" t="n">
        <v>0</v>
      </c>
      <c r="J5" s="6" t="n"/>
      <c r="K5" s="6" t="inlineStr">
        <is>
          <t>—</t>
        </is>
      </c>
    </row>
    <row r="6">
      <c r="A6" s="8" t="inlineStr">
        <is>
          <t>Morocco</t>
        </is>
      </c>
      <c r="B6" s="8" t="n">
        <v>66.2</v>
      </c>
      <c r="C6" s="8" t="inlineStr">
        <is>
          <t>Phase 3C</t>
        </is>
      </c>
      <c r="D6" s="8" t="inlineStr">
        <is>
          <t>Phase 3</t>
        </is>
      </c>
      <c r="E6" s="8" t="inlineStr">
        <is>
          <t>Phase 3</t>
        </is>
      </c>
      <c r="F6" s="8" t="inlineStr">
        <is>
          <t>Phase 3</t>
        </is>
      </c>
      <c r="G6" s="8" t="inlineStr">
        <is>
          <t>Phase 3</t>
        </is>
      </c>
      <c r="H6" s="8" t="inlineStr">
        <is>
          <t>Phase 3</t>
        </is>
      </c>
      <c r="I6" s="8" t="n">
        <v>0</v>
      </c>
      <c r="J6" s="8" t="n"/>
      <c r="K6" s="8" t="inlineStr">
        <is>
          <t>—</t>
        </is>
      </c>
    </row>
    <row r="7">
      <c r="A7" s="6" t="inlineStr">
        <is>
          <t>Tunisia</t>
        </is>
      </c>
      <c r="B7" s="6" t="n">
        <v>61</v>
      </c>
      <c r="C7" s="6" t="inlineStr">
        <is>
          <t>Phase 3C</t>
        </is>
      </c>
      <c r="D7" s="6" t="inlineStr">
        <is>
          <t>Phase 3</t>
        </is>
      </c>
      <c r="E7" s="6" t="inlineStr">
        <is>
          <t>Phase 2</t>
        </is>
      </c>
      <c r="F7" s="6" t="inlineStr">
        <is>
          <t>Phase 3</t>
        </is>
      </c>
      <c r="G7" s="6" t="inlineStr">
        <is>
          <t>Phase 2</t>
        </is>
      </c>
      <c r="H7" s="6" t="inlineStr">
        <is>
          <t>Phase 3</t>
        </is>
      </c>
      <c r="I7" s="6" t="n">
        <v>2</v>
      </c>
      <c r="J7" s="6" t="n"/>
      <c r="K7" s="6" t="inlineStr">
        <is>
          <t>—</t>
        </is>
      </c>
    </row>
    <row r="8">
      <c r="A8" s="8" t="inlineStr">
        <is>
          <t>Mauritania</t>
        </is>
      </c>
      <c r="B8" s="8" t="n">
        <v>44.3</v>
      </c>
      <c r="C8" s="8" t="inlineStr">
        <is>
          <t>Phase 2</t>
        </is>
      </c>
      <c r="D8" s="8" t="inlineStr">
        <is>
          <t>Phase 2</t>
        </is>
      </c>
      <c r="E8" s="8" t="inlineStr">
        <is>
          <t>Phase 2</t>
        </is>
      </c>
      <c r="F8" s="8" t="inlineStr">
        <is>
          <t>Phase 2</t>
        </is>
      </c>
      <c r="G8" s="8" t="inlineStr">
        <is>
          <t>Phase 2</t>
        </is>
      </c>
      <c r="H8" s="8" t="inlineStr">
        <is>
          <t>Phase 2</t>
        </is>
      </c>
      <c r="I8" s="8" t="n">
        <v>0</v>
      </c>
      <c r="J8" s="8" t="n"/>
      <c r="K8" s="8" t="inlineStr">
        <is>
          <t>—</t>
        </is>
      </c>
    </row>
    <row r="9">
      <c r="A9" s="6" t="inlineStr">
        <is>
          <t>Nigeria</t>
        </is>
      </c>
      <c r="B9" s="6" t="n">
        <v>56.6</v>
      </c>
      <c r="C9" s="6" t="inlineStr">
        <is>
          <t>Phase 2</t>
        </is>
      </c>
      <c r="D9" s="6" t="inlineStr">
        <is>
          <t>Phase 2</t>
        </is>
      </c>
      <c r="E9" s="6" t="inlineStr">
        <is>
          <t>Phase 2</t>
        </is>
      </c>
      <c r="F9" s="6" t="inlineStr">
        <is>
          <t>Phase 2</t>
        </is>
      </c>
      <c r="G9" s="6" t="inlineStr">
        <is>
          <t>Phase 2</t>
        </is>
      </c>
      <c r="H9" s="6" t="inlineStr">
        <is>
          <t>Phase 3</t>
        </is>
      </c>
      <c r="I9" s="6" t="n">
        <v>1</v>
      </c>
      <c r="J9" s="6" t="n"/>
      <c r="K9" s="6" t="inlineStr">
        <is>
          <t>—</t>
        </is>
      </c>
    </row>
    <row r="10">
      <c r="A10" s="8" t="inlineStr">
        <is>
          <t>Ghana</t>
        </is>
      </c>
      <c r="B10" s="8" t="n">
        <v>60</v>
      </c>
      <c r="C10" s="8" t="inlineStr">
        <is>
          <t>Phase 2</t>
        </is>
      </c>
      <c r="D10" s="8" t="inlineStr">
        <is>
          <t>Phase 2</t>
        </is>
      </c>
      <c r="E10" s="8" t="inlineStr">
        <is>
          <t>Phase 2</t>
        </is>
      </c>
      <c r="F10" s="8" t="inlineStr">
        <is>
          <t>Phase 3</t>
        </is>
      </c>
      <c r="G10" s="8" t="inlineStr">
        <is>
          <t>Phase 2</t>
        </is>
      </c>
      <c r="H10" s="8" t="inlineStr">
        <is>
          <t>Phase 3</t>
        </is>
      </c>
      <c r="I10" s="8" t="n">
        <v>2</v>
      </c>
      <c r="J10" s="8" t="n"/>
      <c r="K10" s="8" t="inlineStr">
        <is>
          <t>—</t>
        </is>
      </c>
    </row>
    <row r="11">
      <c r="A11" s="6" t="inlineStr">
        <is>
          <t>Senegal</t>
        </is>
      </c>
      <c r="B11" s="6" t="n">
        <v>59.4</v>
      </c>
      <c r="C11" s="6" t="inlineStr">
        <is>
          <t>Phase 2</t>
        </is>
      </c>
      <c r="D11" s="6" t="inlineStr">
        <is>
          <t>Phase 2</t>
        </is>
      </c>
      <c r="E11" s="6" t="inlineStr">
        <is>
          <t>Phase 2</t>
        </is>
      </c>
      <c r="F11" s="6" t="inlineStr">
        <is>
          <t>Phase 3</t>
        </is>
      </c>
      <c r="G11" s="6" t="inlineStr">
        <is>
          <t>Phase 2</t>
        </is>
      </c>
      <c r="H11" s="6" t="inlineStr">
        <is>
          <t>Phase 3</t>
        </is>
      </c>
      <c r="I11" s="6" t="n">
        <v>2</v>
      </c>
      <c r="J11" s="6" t="n"/>
      <c r="K11" s="6" t="inlineStr">
        <is>
          <t>—</t>
        </is>
      </c>
    </row>
    <row r="12">
      <c r="A12" s="8" t="inlineStr">
        <is>
          <t>Côte d'Ivoire</t>
        </is>
      </c>
      <c r="B12" s="8" t="n">
        <v>53.2</v>
      </c>
      <c r="C12" s="8" t="inlineStr">
        <is>
          <t>Phase 2</t>
        </is>
      </c>
      <c r="D12" s="8" t="inlineStr">
        <is>
          <t>Phase 2</t>
        </is>
      </c>
      <c r="E12" s="8" t="inlineStr">
        <is>
          <t>Phase 2</t>
        </is>
      </c>
      <c r="F12" s="8" t="inlineStr">
        <is>
          <t>Phase 2</t>
        </is>
      </c>
      <c r="G12" s="8" t="inlineStr">
        <is>
          <t>Phase 2</t>
        </is>
      </c>
      <c r="H12" s="8" t="inlineStr">
        <is>
          <t>Phase 2</t>
        </is>
      </c>
      <c r="I12" s="8" t="n">
        <v>0</v>
      </c>
      <c r="J12" s="8" t="n"/>
      <c r="K12" s="8" t="inlineStr">
        <is>
          <t>—</t>
        </is>
      </c>
    </row>
    <row r="13">
      <c r="A13" s="6" t="inlineStr">
        <is>
          <t>Mali</t>
        </is>
      </c>
      <c r="B13" s="6" t="n">
        <v>30.2</v>
      </c>
      <c r="C13" s="6" t="inlineStr">
        <is>
          <t>Phase 1</t>
        </is>
      </c>
      <c r="D13" s="6" t="inlineStr">
        <is>
          <t>Phase 1</t>
        </is>
      </c>
      <c r="E13" s="6" t="inlineStr">
        <is>
          <t>Phase 1</t>
        </is>
      </c>
      <c r="F13" s="6" t="inlineStr">
        <is>
          <t>Phase 1</t>
        </is>
      </c>
      <c r="G13" s="6" t="inlineStr">
        <is>
          <t>Phase 1</t>
        </is>
      </c>
      <c r="H13" s="6" t="inlineStr">
        <is>
          <t>Phase 1</t>
        </is>
      </c>
      <c r="I13" s="6" t="n">
        <v>0</v>
      </c>
      <c r="J13" s="6" t="n"/>
      <c r="K13" s="6" t="inlineStr">
        <is>
          <t>—</t>
        </is>
      </c>
    </row>
    <row r="14">
      <c r="A14" s="8" t="inlineStr">
        <is>
          <t>Burkina Faso</t>
        </is>
      </c>
      <c r="B14" s="8" t="n">
        <v>28.5</v>
      </c>
      <c r="C14" s="8" t="inlineStr">
        <is>
          <t>Phase 1</t>
        </is>
      </c>
      <c r="D14" s="8" t="inlineStr">
        <is>
          <t>Phase 1</t>
        </is>
      </c>
      <c r="E14" s="8" t="inlineStr">
        <is>
          <t>Phase 1</t>
        </is>
      </c>
      <c r="F14" s="8" t="inlineStr">
        <is>
          <t>Phase 1</t>
        </is>
      </c>
      <c r="G14" s="8" t="inlineStr">
        <is>
          <t>Phase 1</t>
        </is>
      </c>
      <c r="H14" s="8" t="inlineStr">
        <is>
          <t>Phase 1</t>
        </is>
      </c>
      <c r="I14" s="8" t="n">
        <v>0</v>
      </c>
      <c r="J14" s="8" t="n"/>
      <c r="K14" s="8" t="inlineStr">
        <is>
          <t>—</t>
        </is>
      </c>
    </row>
    <row r="15">
      <c r="A15" s="6" t="inlineStr">
        <is>
          <t>Guinea</t>
        </is>
      </c>
      <c r="B15" s="6" t="n">
        <v>33.1</v>
      </c>
      <c r="C15" s="6" t="inlineStr">
        <is>
          <t>Phase 1</t>
        </is>
      </c>
      <c r="D15" s="6" t="inlineStr">
        <is>
          <t>Phase 1</t>
        </is>
      </c>
      <c r="E15" s="6" t="inlineStr">
        <is>
          <t>Phase 1</t>
        </is>
      </c>
      <c r="F15" s="6" t="inlineStr">
        <is>
          <t>Phase 2</t>
        </is>
      </c>
      <c r="G15" s="6" t="inlineStr">
        <is>
          <t>Phase 1</t>
        </is>
      </c>
      <c r="H15" s="6" t="inlineStr">
        <is>
          <t>Phase 2</t>
        </is>
      </c>
      <c r="I15" s="6" t="n">
        <v>2</v>
      </c>
      <c r="J15" s="6" t="n"/>
      <c r="K15" s="6" t="inlineStr">
        <is>
          <t>—</t>
        </is>
      </c>
    </row>
    <row r="16">
      <c r="A16" s="8" t="inlineStr">
        <is>
          <t>Niger</t>
        </is>
      </c>
      <c r="B16" s="8" t="n">
        <v>34.3</v>
      </c>
      <c r="C16" s="8" t="inlineStr">
        <is>
          <t>Phase 1</t>
        </is>
      </c>
      <c r="D16" s="8" t="inlineStr">
        <is>
          <t>Phase 1</t>
        </is>
      </c>
      <c r="E16" s="8" t="inlineStr">
        <is>
          <t>Phase 1</t>
        </is>
      </c>
      <c r="F16" s="8" t="inlineStr">
        <is>
          <t>Phase 2</t>
        </is>
      </c>
      <c r="G16" s="8" t="inlineStr">
        <is>
          <t>Phase 1</t>
        </is>
      </c>
      <c r="H16" s="8" t="inlineStr">
        <is>
          <t>Phase 2</t>
        </is>
      </c>
      <c r="I16" s="8" t="n">
        <v>2</v>
      </c>
      <c r="J16" s="8" t="n"/>
      <c r="K16" s="8" t="inlineStr">
        <is>
          <t>—</t>
        </is>
      </c>
    </row>
    <row r="17">
      <c r="A17" s="6" t="inlineStr">
        <is>
          <t>Benin</t>
        </is>
      </c>
      <c r="B17" s="6" t="n">
        <v>46.3</v>
      </c>
      <c r="C17" s="6" t="inlineStr">
        <is>
          <t>Phase 2</t>
        </is>
      </c>
      <c r="D17" s="6" t="inlineStr">
        <is>
          <t>Phase 2</t>
        </is>
      </c>
      <c r="E17" s="6" t="inlineStr">
        <is>
          <t>Phase 2</t>
        </is>
      </c>
      <c r="F17" s="6" t="inlineStr">
        <is>
          <t>Phase 2</t>
        </is>
      </c>
      <c r="G17" s="6" t="inlineStr">
        <is>
          <t>Phase 2</t>
        </is>
      </c>
      <c r="H17" s="6" t="inlineStr">
        <is>
          <t>Phase 2</t>
        </is>
      </c>
      <c r="I17" s="6" t="n">
        <v>0</v>
      </c>
      <c r="J17" s="6" t="n"/>
      <c r="K17" s="6" t="inlineStr">
        <is>
          <t>—</t>
        </is>
      </c>
    </row>
    <row r="18">
      <c r="A18" s="8" t="inlineStr">
        <is>
          <t>Togo</t>
        </is>
      </c>
      <c r="B18" s="8" t="n">
        <v>43.6</v>
      </c>
      <c r="C18" s="8" t="inlineStr">
        <is>
          <t>Phase 2</t>
        </is>
      </c>
      <c r="D18" s="8" t="inlineStr">
        <is>
          <t>Phase 2</t>
        </is>
      </c>
      <c r="E18" s="8" t="inlineStr">
        <is>
          <t>Phase 2</t>
        </is>
      </c>
      <c r="F18" s="8" t="inlineStr">
        <is>
          <t>Phase 2</t>
        </is>
      </c>
      <c r="G18" s="8" t="inlineStr">
        <is>
          <t>Phase 2</t>
        </is>
      </c>
      <c r="H18" s="8" t="inlineStr">
        <is>
          <t>Phase 2</t>
        </is>
      </c>
      <c r="I18" s="8" t="n">
        <v>0</v>
      </c>
      <c r="J18" s="8" t="n"/>
      <c r="K18" s="8" t="inlineStr">
        <is>
          <t>—</t>
        </is>
      </c>
    </row>
    <row r="19">
      <c r="A19" s="6" t="inlineStr">
        <is>
          <t>Sierra Leone</t>
        </is>
      </c>
      <c r="B19" s="6" t="n">
        <v>37.9</v>
      </c>
      <c r="C19" s="6" t="inlineStr">
        <is>
          <t>Phase 2</t>
        </is>
      </c>
      <c r="D19" s="6" t="inlineStr">
        <is>
          <t>Phase 2</t>
        </is>
      </c>
      <c r="E19" s="6" t="inlineStr">
        <is>
          <t>Phase 1</t>
        </is>
      </c>
      <c r="F19" s="6" t="inlineStr">
        <is>
          <t>Phase 2</t>
        </is>
      </c>
      <c r="G19" s="6" t="inlineStr">
        <is>
          <t>Phase 1</t>
        </is>
      </c>
      <c r="H19" s="6" t="inlineStr">
        <is>
          <t>Phase 2</t>
        </is>
      </c>
      <c r="I19" s="6" t="n">
        <v>2</v>
      </c>
      <c r="J19" s="6" t="n"/>
      <c r="K19" s="6" t="inlineStr">
        <is>
          <t>—</t>
        </is>
      </c>
    </row>
    <row r="20">
      <c r="A20" s="8" t="inlineStr">
        <is>
          <t>Liberia</t>
        </is>
      </c>
      <c r="B20" s="8" t="n">
        <v>36.5</v>
      </c>
      <c r="C20" s="8" t="inlineStr">
        <is>
          <t>Phase 2</t>
        </is>
      </c>
      <c r="D20" s="8" t="inlineStr">
        <is>
          <t>Phase 2</t>
        </is>
      </c>
      <c r="E20" s="8" t="inlineStr">
        <is>
          <t>Phase 1</t>
        </is>
      </c>
      <c r="F20" s="8" t="inlineStr">
        <is>
          <t>Phase 2</t>
        </is>
      </c>
      <c r="G20" s="8" t="inlineStr">
        <is>
          <t>Phase 1</t>
        </is>
      </c>
      <c r="H20" s="8" t="inlineStr">
        <is>
          <t>Phase 2</t>
        </is>
      </c>
      <c r="I20" s="8" t="n">
        <v>2</v>
      </c>
      <c r="J20" s="8" t="n"/>
      <c r="K20" s="8" t="inlineStr">
        <is>
          <t>—</t>
        </is>
      </c>
    </row>
    <row r="21">
      <c r="A21" s="6" t="inlineStr">
        <is>
          <t>Guinea-Bissau</t>
        </is>
      </c>
      <c r="B21" s="6" t="n">
        <v>34.3</v>
      </c>
      <c r="C21" s="6" t="inlineStr">
        <is>
          <t>Phase 1</t>
        </is>
      </c>
      <c r="D21" s="6" t="inlineStr">
        <is>
          <t>Phase 1</t>
        </is>
      </c>
      <c r="E21" s="6" t="inlineStr">
        <is>
          <t>Phase 1</t>
        </is>
      </c>
      <c r="F21" s="6" t="inlineStr">
        <is>
          <t>Phase 2</t>
        </is>
      </c>
      <c r="G21" s="6" t="inlineStr">
        <is>
          <t>Phase 1</t>
        </is>
      </c>
      <c r="H21" s="6" t="inlineStr">
        <is>
          <t>Phase 2</t>
        </is>
      </c>
      <c r="I21" s="6" t="n">
        <v>2</v>
      </c>
      <c r="J21" s="6" t="n"/>
      <c r="K21" s="6" t="inlineStr">
        <is>
          <t>—</t>
        </is>
      </c>
    </row>
    <row r="22">
      <c r="A22" s="8" t="inlineStr">
        <is>
          <t>Gambia</t>
        </is>
      </c>
      <c r="B22" s="8" t="n">
        <v>34.6</v>
      </c>
      <c r="C22" s="8" t="inlineStr">
        <is>
          <t>Phase 1</t>
        </is>
      </c>
      <c r="D22" s="8" t="inlineStr">
        <is>
          <t>Phase 1</t>
        </is>
      </c>
      <c r="E22" s="8" t="inlineStr">
        <is>
          <t>Phase 1</t>
        </is>
      </c>
      <c r="F22" s="8" t="inlineStr">
        <is>
          <t>Phase 2</t>
        </is>
      </c>
      <c r="G22" s="8" t="inlineStr">
        <is>
          <t>Phase 1</t>
        </is>
      </c>
      <c r="H22" s="8" t="inlineStr">
        <is>
          <t>Phase 2</t>
        </is>
      </c>
      <c r="I22" s="8" t="n">
        <v>2</v>
      </c>
      <c r="J22" s="8" t="n"/>
      <c r="K22" s="8" t="inlineStr">
        <is>
          <t>—</t>
        </is>
      </c>
    </row>
    <row r="23">
      <c r="A23" s="6" t="inlineStr">
        <is>
          <t>Cape Verde</t>
        </is>
      </c>
      <c r="B23" s="6" t="n">
        <v>54.6</v>
      </c>
      <c r="C23" s="6" t="inlineStr">
        <is>
          <t>Phase 2</t>
        </is>
      </c>
      <c r="D23" s="6" t="inlineStr">
        <is>
          <t>Phase 2</t>
        </is>
      </c>
      <c r="E23" s="6" t="inlineStr">
        <is>
          <t>Phase 2</t>
        </is>
      </c>
      <c r="F23" s="6" t="inlineStr">
        <is>
          <t>Phase 2</t>
        </is>
      </c>
      <c r="G23" s="6" t="inlineStr">
        <is>
          <t>Phase 2</t>
        </is>
      </c>
      <c r="H23" s="6" t="inlineStr">
        <is>
          <t>Phase 2</t>
        </is>
      </c>
      <c r="I23" s="6" t="n">
        <v>0</v>
      </c>
      <c r="J23" s="6" t="n"/>
      <c r="K23" s="6" t="inlineStr">
        <is>
          <t>—</t>
        </is>
      </c>
    </row>
    <row r="24">
      <c r="A24" s="8" t="inlineStr">
        <is>
          <t>Ethiopia</t>
        </is>
      </c>
      <c r="B24" s="8" t="n">
        <v>56.1</v>
      </c>
      <c r="C24" s="8" t="inlineStr">
        <is>
          <t>Phase 2</t>
        </is>
      </c>
      <c r="D24" s="8" t="inlineStr">
        <is>
          <t>Phase 2</t>
        </is>
      </c>
      <c r="E24" s="8" t="inlineStr">
        <is>
          <t>Phase 2</t>
        </is>
      </c>
      <c r="F24" s="8" t="inlineStr">
        <is>
          <t>Phase 2</t>
        </is>
      </c>
      <c r="G24" s="8" t="inlineStr">
        <is>
          <t>Phase 2</t>
        </is>
      </c>
      <c r="H24" s="8" t="inlineStr">
        <is>
          <t>Phase 3</t>
        </is>
      </c>
      <c r="I24" s="8" t="n">
        <v>1</v>
      </c>
      <c r="J24" s="8" t="n"/>
      <c r="K24" s="8" t="inlineStr">
        <is>
          <t>—</t>
        </is>
      </c>
    </row>
    <row r="25">
      <c r="A25" s="6" t="inlineStr">
        <is>
          <t>Kenya</t>
        </is>
      </c>
      <c r="B25" s="6" t="n">
        <v>69.40000000000001</v>
      </c>
      <c r="C25" s="6" t="inlineStr">
        <is>
          <t>Phase 3C</t>
        </is>
      </c>
      <c r="D25" s="6" t="inlineStr">
        <is>
          <t>Phase 3</t>
        </is>
      </c>
      <c r="E25" s="6" t="inlineStr">
        <is>
          <t>Phase 3</t>
        </is>
      </c>
      <c r="F25" s="6" t="inlineStr">
        <is>
          <t>Phase 3</t>
        </is>
      </c>
      <c r="G25" s="6" t="inlineStr">
        <is>
          <t>Phase 3</t>
        </is>
      </c>
      <c r="H25" s="6" t="inlineStr">
        <is>
          <t>Phase 3</t>
        </is>
      </c>
      <c r="I25" s="6" t="n">
        <v>0</v>
      </c>
      <c r="J25" s="6" t="n"/>
      <c r="K25" s="6" t="inlineStr">
        <is>
          <t>—</t>
        </is>
      </c>
    </row>
    <row r="26">
      <c r="A26" s="8" t="inlineStr">
        <is>
          <t>Tanzania</t>
        </is>
      </c>
      <c r="B26" s="8" t="n">
        <v>62.3</v>
      </c>
      <c r="C26" s="8" t="inlineStr">
        <is>
          <t>Phase 3C</t>
        </is>
      </c>
      <c r="D26" s="8" t="inlineStr">
        <is>
          <t>Phase 3</t>
        </is>
      </c>
      <c r="E26" s="8" t="inlineStr">
        <is>
          <t>Phase 2</t>
        </is>
      </c>
      <c r="F26" s="8" t="inlineStr">
        <is>
          <t>Phase 3</t>
        </is>
      </c>
      <c r="G26" s="8" t="inlineStr">
        <is>
          <t>Phase 2</t>
        </is>
      </c>
      <c r="H26" s="8" t="inlineStr">
        <is>
          <t>Phase 3</t>
        </is>
      </c>
      <c r="I26" s="8" t="n">
        <v>2</v>
      </c>
      <c r="J26" s="8" t="n"/>
      <c r="K26" s="8" t="inlineStr">
        <is>
          <t>—</t>
        </is>
      </c>
    </row>
    <row r="27">
      <c r="A27" s="6" t="inlineStr">
        <is>
          <t>Uganda</t>
        </is>
      </c>
      <c r="B27" s="6" t="n">
        <v>51.6</v>
      </c>
      <c r="C27" s="6" t="inlineStr">
        <is>
          <t>Phase 2</t>
        </is>
      </c>
      <c r="D27" s="6" t="inlineStr">
        <is>
          <t>Phase 2</t>
        </is>
      </c>
      <c r="E27" s="6" t="inlineStr">
        <is>
          <t>Phase 2</t>
        </is>
      </c>
      <c r="F27" s="6" t="inlineStr">
        <is>
          <t>Phase 2</t>
        </is>
      </c>
      <c r="G27" s="6" t="inlineStr">
        <is>
          <t>Phase 2</t>
        </is>
      </c>
      <c r="H27" s="6" t="inlineStr">
        <is>
          <t>Phase 2</t>
        </is>
      </c>
      <c r="I27" s="6" t="n">
        <v>0</v>
      </c>
      <c r="J27" s="6" t="n"/>
      <c r="K27" s="6" t="inlineStr">
        <is>
          <t>—</t>
        </is>
      </c>
    </row>
    <row r="28">
      <c r="A28" s="8" t="inlineStr">
        <is>
          <t>Rwanda</t>
        </is>
      </c>
      <c r="B28" s="8" t="n">
        <v>67</v>
      </c>
      <c r="C28" s="8" t="inlineStr">
        <is>
          <t>Phase 3B</t>
        </is>
      </c>
      <c r="D28" s="8" t="inlineStr">
        <is>
          <t>Phase 3</t>
        </is>
      </c>
      <c r="E28" s="8" t="inlineStr">
        <is>
          <t>Phase 3</t>
        </is>
      </c>
      <c r="F28" s="8" t="inlineStr">
        <is>
          <t>Phase 3</t>
        </is>
      </c>
      <c r="G28" s="8" t="inlineStr">
        <is>
          <t>Phase 3</t>
        </is>
      </c>
      <c r="H28" s="8" t="inlineStr">
        <is>
          <t>Phase 3</t>
        </is>
      </c>
      <c r="I28" s="8" t="n">
        <v>0</v>
      </c>
      <c r="J28" s="8" t="n"/>
      <c r="K28" s="8" t="inlineStr">
        <is>
          <t>—</t>
        </is>
      </c>
    </row>
    <row r="29">
      <c r="A29" s="6" t="inlineStr">
        <is>
          <t>Somalia</t>
        </is>
      </c>
      <c r="B29" s="6" t="n">
        <v>32.9</v>
      </c>
      <c r="C29" s="6" t="inlineStr">
        <is>
          <t>Phase 1</t>
        </is>
      </c>
      <c r="D29" s="6" t="inlineStr">
        <is>
          <t>Phase 1</t>
        </is>
      </c>
      <c r="E29" s="6" t="inlineStr">
        <is>
          <t>Phase 1</t>
        </is>
      </c>
      <c r="F29" s="6" t="inlineStr">
        <is>
          <t>Phase 1</t>
        </is>
      </c>
      <c r="G29" s="6" t="inlineStr">
        <is>
          <t>Phase 1</t>
        </is>
      </c>
      <c r="H29" s="6" t="inlineStr">
        <is>
          <t>Phase 2</t>
        </is>
      </c>
      <c r="I29" s="6" t="n">
        <v>1</v>
      </c>
      <c r="J29" s="6" t="n"/>
      <c r="K29" s="6" t="inlineStr">
        <is>
          <t>—</t>
        </is>
      </c>
    </row>
    <row r="30">
      <c r="A30" s="8" t="inlineStr">
        <is>
          <t>Eritrea</t>
        </is>
      </c>
      <c r="B30" s="8" t="n">
        <v>39.1</v>
      </c>
      <c r="C30" s="8" t="inlineStr">
        <is>
          <t>Phase 2</t>
        </is>
      </c>
      <c r="D30" s="8" t="inlineStr">
        <is>
          <t>Phase 2</t>
        </is>
      </c>
      <c r="E30" s="8" t="inlineStr">
        <is>
          <t>Phase 2</t>
        </is>
      </c>
      <c r="F30" s="8" t="inlineStr">
        <is>
          <t>Phase 2</t>
        </is>
      </c>
      <c r="G30" s="8" t="inlineStr">
        <is>
          <t>Phase 1</t>
        </is>
      </c>
      <c r="H30" s="8" t="inlineStr">
        <is>
          <t>Phase 2</t>
        </is>
      </c>
      <c r="I30" s="8" t="n">
        <v>1</v>
      </c>
      <c r="J30" s="8" t="n"/>
      <c r="K30" s="8" t="inlineStr">
        <is>
          <t>—</t>
        </is>
      </c>
    </row>
    <row r="31">
      <c r="A31" s="6" t="inlineStr">
        <is>
          <t>Djibouti</t>
        </is>
      </c>
      <c r="B31" s="6" t="n">
        <v>44.2</v>
      </c>
      <c r="C31" s="6" t="inlineStr">
        <is>
          <t>Phase 2</t>
        </is>
      </c>
      <c r="D31" s="6" t="inlineStr">
        <is>
          <t>Phase 2</t>
        </is>
      </c>
      <c r="E31" s="6" t="inlineStr">
        <is>
          <t>Phase 2</t>
        </is>
      </c>
      <c r="F31" s="6" t="inlineStr">
        <is>
          <t>Phase 2</t>
        </is>
      </c>
      <c r="G31" s="6" t="inlineStr">
        <is>
          <t>Phase 2</t>
        </is>
      </c>
      <c r="H31" s="6" t="inlineStr">
        <is>
          <t>Phase 2</t>
        </is>
      </c>
      <c r="I31" s="6" t="n">
        <v>0</v>
      </c>
      <c r="J31" s="6" t="n"/>
      <c r="K31" s="6" t="inlineStr">
        <is>
          <t>—</t>
        </is>
      </c>
    </row>
    <row r="32">
      <c r="A32" s="8" t="inlineStr">
        <is>
          <t>Sudan</t>
        </is>
      </c>
      <c r="B32" s="8" t="n">
        <v>36.5</v>
      </c>
      <c r="C32" s="8" t="inlineStr">
        <is>
          <t>Phase 2</t>
        </is>
      </c>
      <c r="D32" s="8" t="inlineStr">
        <is>
          <t>Phase 2</t>
        </is>
      </c>
      <c r="E32" s="8" t="inlineStr">
        <is>
          <t>Phase 1</t>
        </is>
      </c>
      <c r="F32" s="8" t="inlineStr">
        <is>
          <t>Phase 2</t>
        </is>
      </c>
      <c r="G32" s="8" t="inlineStr">
        <is>
          <t>Phase 1</t>
        </is>
      </c>
      <c r="H32" s="8" t="inlineStr">
        <is>
          <t>Phase 2</t>
        </is>
      </c>
      <c r="I32" s="8" t="n">
        <v>2</v>
      </c>
      <c r="J32" s="8" t="n"/>
      <c r="K32" s="8" t="inlineStr">
        <is>
          <t>—</t>
        </is>
      </c>
    </row>
    <row r="33">
      <c r="A33" s="6" t="inlineStr">
        <is>
          <t>South Sudan</t>
        </is>
      </c>
      <c r="B33" s="6" t="n">
        <v>33.6</v>
      </c>
      <c r="C33" s="6" t="inlineStr">
        <is>
          <t>Phase 1</t>
        </is>
      </c>
      <c r="D33" s="6" t="inlineStr">
        <is>
          <t>Phase 1</t>
        </is>
      </c>
      <c r="E33" s="6" t="inlineStr">
        <is>
          <t>Phase 1</t>
        </is>
      </c>
      <c r="F33" s="6" t="inlineStr">
        <is>
          <t>Phase 2</t>
        </is>
      </c>
      <c r="G33" s="6" t="inlineStr">
        <is>
          <t>Phase 1</t>
        </is>
      </c>
      <c r="H33" s="6" t="inlineStr">
        <is>
          <t>Phase 2</t>
        </is>
      </c>
      <c r="I33" s="6" t="n">
        <v>2</v>
      </c>
      <c r="J33" s="6" t="n"/>
      <c r="K33" s="6" t="inlineStr">
        <is>
          <t>—</t>
        </is>
      </c>
    </row>
    <row r="34">
      <c r="A34" s="8" t="inlineStr">
        <is>
          <t>Burundi</t>
        </is>
      </c>
      <c r="B34" s="8" t="n">
        <v>33.8</v>
      </c>
      <c r="C34" s="8" t="inlineStr">
        <is>
          <t>Phase 1</t>
        </is>
      </c>
      <c r="D34" s="8" t="inlineStr">
        <is>
          <t>Phase 1</t>
        </is>
      </c>
      <c r="E34" s="8" t="inlineStr">
        <is>
          <t>Phase 1</t>
        </is>
      </c>
      <c r="F34" s="8" t="inlineStr">
        <is>
          <t>Phase 2</t>
        </is>
      </c>
      <c r="G34" s="8" t="inlineStr">
        <is>
          <t>Phase 1</t>
        </is>
      </c>
      <c r="H34" s="8" t="inlineStr">
        <is>
          <t>Phase 2</t>
        </is>
      </c>
      <c r="I34" s="8" t="n">
        <v>2</v>
      </c>
      <c r="J34" s="8" t="n"/>
      <c r="K34" s="8" t="inlineStr">
        <is>
          <t>—</t>
        </is>
      </c>
    </row>
    <row r="35">
      <c r="A35" s="6" t="inlineStr">
        <is>
          <t>Comoros</t>
        </is>
      </c>
      <c r="B35" s="6" t="n">
        <v>38.3</v>
      </c>
      <c r="C35" s="6" t="inlineStr">
        <is>
          <t>Phase 2</t>
        </is>
      </c>
      <c r="D35" s="6" t="inlineStr">
        <is>
          <t>Phase 2</t>
        </is>
      </c>
      <c r="E35" s="6" t="inlineStr">
        <is>
          <t>Phase 1</t>
        </is>
      </c>
      <c r="F35" s="6" t="inlineStr">
        <is>
          <t>Phase 2</t>
        </is>
      </c>
      <c r="G35" s="6" t="inlineStr">
        <is>
          <t>Phase 1</t>
        </is>
      </c>
      <c r="H35" s="6" t="inlineStr">
        <is>
          <t>Phase 2</t>
        </is>
      </c>
      <c r="I35" s="6" t="n">
        <v>2</v>
      </c>
      <c r="J35" s="6" t="n"/>
      <c r="K35" s="6" t="inlineStr">
        <is>
          <t>—</t>
        </is>
      </c>
    </row>
    <row r="36">
      <c r="A36" s="8" t="inlineStr">
        <is>
          <t>Seychelles</t>
        </is>
      </c>
      <c r="B36" s="8" t="n">
        <v>63.6</v>
      </c>
      <c r="C36" s="8" t="inlineStr">
        <is>
          <t>Phase 3C</t>
        </is>
      </c>
      <c r="D36" s="8" t="inlineStr">
        <is>
          <t>Phase 3</t>
        </is>
      </c>
      <c r="E36" s="8" t="inlineStr">
        <is>
          <t>Phase 2</t>
        </is>
      </c>
      <c r="F36" s="8" t="inlineStr">
        <is>
          <t>Phase 3</t>
        </is>
      </c>
      <c r="G36" s="8" t="inlineStr">
        <is>
          <t>Phase 2</t>
        </is>
      </c>
      <c r="H36" s="8" t="inlineStr">
        <is>
          <t>Phase 3</t>
        </is>
      </c>
      <c r="I36" s="8" t="n">
        <v>2</v>
      </c>
      <c r="J36" s="8" t="n"/>
      <c r="K36" s="8" t="inlineStr">
        <is>
          <t>—</t>
        </is>
      </c>
    </row>
    <row r="37">
      <c r="A37" s="6" t="inlineStr">
        <is>
          <t>Mauritius</t>
        </is>
      </c>
      <c r="B37" s="6" t="n">
        <v>85.5</v>
      </c>
      <c r="C37" s="6" t="inlineStr">
        <is>
          <t>Phase 4</t>
        </is>
      </c>
      <c r="D37" s="6" t="inlineStr">
        <is>
          <t>Phase 4</t>
        </is>
      </c>
      <c r="E37" s="6" t="inlineStr">
        <is>
          <t>Phase 4</t>
        </is>
      </c>
      <c r="F37" s="6" t="inlineStr">
        <is>
          <t>Phase 4</t>
        </is>
      </c>
      <c r="G37" s="6" t="inlineStr">
        <is>
          <t>Phase 3</t>
        </is>
      </c>
      <c r="H37" s="6" t="inlineStr">
        <is>
          <t>Phase 4</t>
        </is>
      </c>
      <c r="I37" s="6" t="n">
        <v>1</v>
      </c>
      <c r="J37" s="6" t="n"/>
      <c r="K37" s="6" t="inlineStr">
        <is>
          <t>—</t>
        </is>
      </c>
    </row>
    <row r="38">
      <c r="A38" s="8" t="inlineStr">
        <is>
          <t>DR Congo</t>
        </is>
      </c>
      <c r="B38" s="8" t="n">
        <v>36</v>
      </c>
      <c r="C38" s="8" t="inlineStr">
        <is>
          <t>Phase 1</t>
        </is>
      </c>
      <c r="D38" s="8" t="inlineStr">
        <is>
          <t>Phase 1</t>
        </is>
      </c>
      <c r="E38" s="8" t="inlineStr">
        <is>
          <t>Phase 1</t>
        </is>
      </c>
      <c r="F38" s="8" t="inlineStr">
        <is>
          <t>Phase 2</t>
        </is>
      </c>
      <c r="G38" s="8" t="inlineStr">
        <is>
          <t>Phase 1</t>
        </is>
      </c>
      <c r="H38" s="8" t="inlineStr">
        <is>
          <t>Phase 2</t>
        </is>
      </c>
      <c r="I38" s="8" t="n">
        <v>2</v>
      </c>
      <c r="J38" s="8" t="n"/>
      <c r="K38" s="8" t="inlineStr">
        <is>
          <t>—</t>
        </is>
      </c>
    </row>
    <row r="39">
      <c r="A39" s="6" t="inlineStr">
        <is>
          <t>Cameroon</t>
        </is>
      </c>
      <c r="B39" s="6" t="n">
        <v>49.1</v>
      </c>
      <c r="C39" s="6" t="inlineStr">
        <is>
          <t>Phase 2</t>
        </is>
      </c>
      <c r="D39" s="6" t="inlineStr">
        <is>
          <t>Phase 2</t>
        </is>
      </c>
      <c r="E39" s="6" t="inlineStr">
        <is>
          <t>Phase 2</t>
        </is>
      </c>
      <c r="F39" s="6" t="inlineStr">
        <is>
          <t>Phase 2</t>
        </is>
      </c>
      <c r="G39" s="6" t="inlineStr">
        <is>
          <t>Phase 2</t>
        </is>
      </c>
      <c r="H39" s="6" t="inlineStr">
        <is>
          <t>Phase 2</t>
        </is>
      </c>
      <c r="I39" s="6" t="n">
        <v>0</v>
      </c>
      <c r="J39" s="6" t="n"/>
      <c r="K39" s="6" t="inlineStr">
        <is>
          <t>—</t>
        </is>
      </c>
    </row>
    <row r="40">
      <c r="A40" s="8" t="inlineStr">
        <is>
          <t>Chad</t>
        </is>
      </c>
      <c r="B40" s="8" t="n">
        <v>32.3</v>
      </c>
      <c r="C40" s="8" t="inlineStr">
        <is>
          <t>Phase 1</t>
        </is>
      </c>
      <c r="D40" s="8" t="inlineStr">
        <is>
          <t>Phase 1</t>
        </is>
      </c>
      <c r="E40" s="8" t="inlineStr">
        <is>
          <t>Phase 1</t>
        </is>
      </c>
      <c r="F40" s="8" t="inlineStr">
        <is>
          <t>Phase 1</t>
        </is>
      </c>
      <c r="G40" s="8" t="inlineStr">
        <is>
          <t>Phase 1</t>
        </is>
      </c>
      <c r="H40" s="8" t="inlineStr">
        <is>
          <t>Phase 2</t>
        </is>
      </c>
      <c r="I40" s="8" t="n">
        <v>1</v>
      </c>
      <c r="J40" s="8" t="n"/>
      <c r="K40" s="8" t="inlineStr">
        <is>
          <t>—</t>
        </is>
      </c>
    </row>
    <row r="41">
      <c r="A41" s="6" t="inlineStr">
        <is>
          <t>CAR</t>
        </is>
      </c>
      <c r="B41" s="6" t="n">
        <v>32.3</v>
      </c>
      <c r="C41" s="6" t="inlineStr">
        <is>
          <t>Phase 1</t>
        </is>
      </c>
      <c r="D41" s="6" t="inlineStr">
        <is>
          <t>Phase 1</t>
        </is>
      </c>
      <c r="E41" s="6" t="inlineStr">
        <is>
          <t>Phase 1</t>
        </is>
      </c>
      <c r="F41" s="6" t="inlineStr">
        <is>
          <t>Phase 1</t>
        </is>
      </c>
      <c r="G41" s="6" t="inlineStr">
        <is>
          <t>Phase 1</t>
        </is>
      </c>
      <c r="H41" s="6" t="inlineStr">
        <is>
          <t>Phase 2</t>
        </is>
      </c>
      <c r="I41" s="6" t="n">
        <v>1</v>
      </c>
      <c r="J41" s="6" t="n"/>
      <c r="K41" s="6" t="inlineStr">
        <is>
          <t>—</t>
        </is>
      </c>
    </row>
    <row r="42">
      <c r="A42" s="8" t="inlineStr">
        <is>
          <t>Congo</t>
        </is>
      </c>
      <c r="B42" s="8" t="n">
        <v>38.8</v>
      </c>
      <c r="C42" s="8" t="inlineStr">
        <is>
          <t>Phase 2</t>
        </is>
      </c>
      <c r="D42" s="8" t="inlineStr">
        <is>
          <t>Phase 2</t>
        </is>
      </c>
      <c r="E42" s="8" t="inlineStr">
        <is>
          <t>Phase 1</t>
        </is>
      </c>
      <c r="F42" s="8" t="inlineStr">
        <is>
          <t>Phase 2</t>
        </is>
      </c>
      <c r="G42" s="8" t="inlineStr">
        <is>
          <t>Phase 1</t>
        </is>
      </c>
      <c r="H42" s="8" t="inlineStr">
        <is>
          <t>Phase 2</t>
        </is>
      </c>
      <c r="I42" s="8" t="n">
        <v>2</v>
      </c>
      <c r="J42" s="8" t="n"/>
      <c r="K42" s="8" t="inlineStr">
        <is>
          <t>—</t>
        </is>
      </c>
    </row>
    <row r="43">
      <c r="A43" s="6" t="inlineStr">
        <is>
          <t>Gabon</t>
        </is>
      </c>
      <c r="B43" s="6" t="n">
        <v>50.6</v>
      </c>
      <c r="C43" s="6" t="inlineStr">
        <is>
          <t>Phase 2</t>
        </is>
      </c>
      <c r="D43" s="6" t="inlineStr">
        <is>
          <t>Phase 2</t>
        </is>
      </c>
      <c r="E43" s="6" t="inlineStr">
        <is>
          <t>Phase 2</t>
        </is>
      </c>
      <c r="F43" s="6" t="inlineStr">
        <is>
          <t>Phase 2</t>
        </is>
      </c>
      <c r="G43" s="6" t="inlineStr">
        <is>
          <t>Phase 2</t>
        </is>
      </c>
      <c r="H43" s="6" t="inlineStr">
        <is>
          <t>Phase 2</t>
        </is>
      </c>
      <c r="I43" s="6" t="n">
        <v>0</v>
      </c>
      <c r="J43" s="6" t="n"/>
      <c r="K43" s="6" t="inlineStr">
        <is>
          <t>—</t>
        </is>
      </c>
    </row>
    <row r="44">
      <c r="A44" s="8" t="inlineStr">
        <is>
          <t>Equatorial Guinea</t>
        </is>
      </c>
      <c r="B44" s="8" t="n">
        <v>37</v>
      </c>
      <c r="C44" s="8" t="inlineStr">
        <is>
          <t>Phase 2</t>
        </is>
      </c>
      <c r="D44" s="8" t="inlineStr">
        <is>
          <t>Phase 2</t>
        </is>
      </c>
      <c r="E44" s="8" t="inlineStr">
        <is>
          <t>Phase 1</t>
        </is>
      </c>
      <c r="F44" s="8" t="inlineStr">
        <is>
          <t>Phase 2</t>
        </is>
      </c>
      <c r="G44" s="8" t="inlineStr">
        <is>
          <t>Phase 1</t>
        </is>
      </c>
      <c r="H44" s="8" t="inlineStr">
        <is>
          <t>Phase 2</t>
        </is>
      </c>
      <c r="I44" s="8" t="n">
        <v>2</v>
      </c>
      <c r="J44" s="8" t="n"/>
      <c r="K44" s="8" t="inlineStr">
        <is>
          <t>—</t>
        </is>
      </c>
    </row>
    <row r="45">
      <c r="A45" s="6" t="inlineStr">
        <is>
          <t>São Tomé</t>
        </is>
      </c>
      <c r="B45" s="6" t="n">
        <v>36.7</v>
      </c>
      <c r="C45" s="6" t="inlineStr">
        <is>
          <t>Phase 2</t>
        </is>
      </c>
      <c r="D45" s="6" t="inlineStr">
        <is>
          <t>Phase 2</t>
        </is>
      </c>
      <c r="E45" s="6" t="inlineStr">
        <is>
          <t>Phase 1</t>
        </is>
      </c>
      <c r="F45" s="6" t="inlineStr">
        <is>
          <t>Phase 2</t>
        </is>
      </c>
      <c r="G45" s="6" t="inlineStr">
        <is>
          <t>Phase 1</t>
        </is>
      </c>
      <c r="H45" s="6" t="inlineStr">
        <is>
          <t>Phase 2</t>
        </is>
      </c>
      <c r="I45" s="6" t="n">
        <v>2</v>
      </c>
      <c r="J45" s="6" t="n"/>
      <c r="K45" s="6" t="inlineStr">
        <is>
          <t>—</t>
        </is>
      </c>
    </row>
    <row r="46">
      <c r="A46" s="8" t="inlineStr">
        <is>
          <t>South Africa</t>
        </is>
      </c>
      <c r="B46" s="8" t="n">
        <v>83.3</v>
      </c>
      <c r="C46" s="8" t="inlineStr">
        <is>
          <t>Phase 4</t>
        </is>
      </c>
      <c r="D46" s="8" t="inlineStr">
        <is>
          <t>Phase 4</t>
        </is>
      </c>
      <c r="E46" s="8" t="inlineStr">
        <is>
          <t>Phase 3</t>
        </is>
      </c>
      <c r="F46" s="8" t="inlineStr">
        <is>
          <t>Phase 4</t>
        </is>
      </c>
      <c r="G46" s="8" t="inlineStr">
        <is>
          <t>Phase 3</t>
        </is>
      </c>
      <c r="H46" s="8" t="inlineStr">
        <is>
          <t>Phase 4</t>
        </is>
      </c>
      <c r="I46" s="8" t="n">
        <v>2</v>
      </c>
      <c r="J46" s="8" t="n"/>
      <c r="K46" s="8" t="inlineStr">
        <is>
          <t>—</t>
        </is>
      </c>
    </row>
    <row r="47">
      <c r="A47" s="6" t="inlineStr">
        <is>
          <t>Zimbabwe</t>
        </is>
      </c>
      <c r="B47" s="6" t="n">
        <v>41.2</v>
      </c>
      <c r="C47" s="6" t="inlineStr">
        <is>
          <t>Phase 2</t>
        </is>
      </c>
      <c r="D47" s="6" t="inlineStr">
        <is>
          <t>Phase 2</t>
        </is>
      </c>
      <c r="E47" s="6" t="inlineStr">
        <is>
          <t>Phase 2</t>
        </is>
      </c>
      <c r="F47" s="6" t="inlineStr">
        <is>
          <t>Phase 2</t>
        </is>
      </c>
      <c r="G47" s="6" t="inlineStr">
        <is>
          <t>Phase 2</t>
        </is>
      </c>
      <c r="H47" s="6" t="inlineStr">
        <is>
          <t>Phase 2</t>
        </is>
      </c>
      <c r="I47" s="6" t="n">
        <v>0</v>
      </c>
      <c r="J47" s="6" t="n"/>
      <c r="K47" s="6" t="inlineStr">
        <is>
          <t>—</t>
        </is>
      </c>
    </row>
    <row r="48">
      <c r="A48" s="8" t="inlineStr">
        <is>
          <t>Zambia</t>
        </is>
      </c>
      <c r="B48" s="8" t="n">
        <v>48</v>
      </c>
      <c r="C48" s="8" t="inlineStr">
        <is>
          <t>Phase 2</t>
        </is>
      </c>
      <c r="D48" s="8" t="inlineStr">
        <is>
          <t>Phase 2</t>
        </is>
      </c>
      <c r="E48" s="8" t="inlineStr">
        <is>
          <t>Phase 2</t>
        </is>
      </c>
      <c r="F48" s="8" t="inlineStr">
        <is>
          <t>Phase 2</t>
        </is>
      </c>
      <c r="G48" s="8" t="inlineStr">
        <is>
          <t>Phase 2</t>
        </is>
      </c>
      <c r="H48" s="8" t="inlineStr">
        <is>
          <t>Phase 2</t>
        </is>
      </c>
      <c r="I48" s="8" t="n">
        <v>0</v>
      </c>
      <c r="J48" s="8" t="n"/>
      <c r="K48" s="8" t="inlineStr">
        <is>
          <t>—</t>
        </is>
      </c>
    </row>
    <row r="49">
      <c r="A49" s="6" t="inlineStr">
        <is>
          <t>Mozambique</t>
        </is>
      </c>
      <c r="B49" s="6" t="n">
        <v>42.9</v>
      </c>
      <c r="C49" s="6" t="inlineStr">
        <is>
          <t>Phase 2</t>
        </is>
      </c>
      <c r="D49" s="6" t="inlineStr">
        <is>
          <t>Phase 2</t>
        </is>
      </c>
      <c r="E49" s="6" t="inlineStr">
        <is>
          <t>Phase 2</t>
        </is>
      </c>
      <c r="F49" s="6" t="inlineStr">
        <is>
          <t>Phase 2</t>
        </is>
      </c>
      <c r="G49" s="6" t="inlineStr">
        <is>
          <t>Phase 2</t>
        </is>
      </c>
      <c r="H49" s="6" t="inlineStr">
        <is>
          <t>Phase 2</t>
        </is>
      </c>
      <c r="I49" s="6" t="n">
        <v>0</v>
      </c>
      <c r="J49" s="6" t="n"/>
      <c r="K49" s="6" t="inlineStr">
        <is>
          <t>—</t>
        </is>
      </c>
    </row>
    <row r="50">
      <c r="A50" s="8" t="inlineStr">
        <is>
          <t>Madagascar</t>
        </is>
      </c>
      <c r="B50" s="8" t="n">
        <v>42</v>
      </c>
      <c r="C50" s="8" t="inlineStr">
        <is>
          <t>Phase 2</t>
        </is>
      </c>
      <c r="D50" s="8" t="inlineStr">
        <is>
          <t>Phase 2</t>
        </is>
      </c>
      <c r="E50" s="8" t="inlineStr">
        <is>
          <t>Phase 2</t>
        </is>
      </c>
      <c r="F50" s="8" t="inlineStr">
        <is>
          <t>Phase 2</t>
        </is>
      </c>
      <c r="G50" s="8" t="inlineStr">
        <is>
          <t>Phase 2</t>
        </is>
      </c>
      <c r="H50" s="8" t="inlineStr">
        <is>
          <t>Phase 2</t>
        </is>
      </c>
      <c r="I50" s="8" t="n">
        <v>0</v>
      </c>
      <c r="J50" s="8" t="n"/>
      <c r="K50" s="8" t="inlineStr">
        <is>
          <t>—</t>
        </is>
      </c>
    </row>
    <row r="51">
      <c r="A51" s="6" t="inlineStr">
        <is>
          <t>Angola</t>
        </is>
      </c>
      <c r="B51" s="6" t="n">
        <v>47.8</v>
      </c>
      <c r="C51" s="6" t="inlineStr">
        <is>
          <t>Phase 2</t>
        </is>
      </c>
      <c r="D51" s="6" t="inlineStr">
        <is>
          <t>Phase 2</t>
        </is>
      </c>
      <c r="E51" s="6" t="inlineStr">
        <is>
          <t>Phase 2</t>
        </is>
      </c>
      <c r="F51" s="6" t="inlineStr">
        <is>
          <t>Phase 2</t>
        </is>
      </c>
      <c r="G51" s="6" t="inlineStr">
        <is>
          <t>Phase 2</t>
        </is>
      </c>
      <c r="H51" s="6" t="inlineStr">
        <is>
          <t>Phase 2</t>
        </is>
      </c>
      <c r="I51" s="6" t="n">
        <v>0</v>
      </c>
      <c r="J51" s="6" t="n"/>
      <c r="K51" s="6" t="inlineStr">
        <is>
          <t>—</t>
        </is>
      </c>
    </row>
    <row r="52">
      <c r="A52" s="8" t="inlineStr">
        <is>
          <t>Botswana</t>
        </is>
      </c>
      <c r="B52" s="8" t="n">
        <v>85.90000000000001</v>
      </c>
      <c r="C52" s="8" t="inlineStr">
        <is>
          <t>Phase 4</t>
        </is>
      </c>
      <c r="D52" s="8" t="inlineStr">
        <is>
          <t>Phase 4</t>
        </is>
      </c>
      <c r="E52" s="8" t="inlineStr">
        <is>
          <t>Phase 4</t>
        </is>
      </c>
      <c r="F52" s="8" t="inlineStr">
        <is>
          <t>Phase 4</t>
        </is>
      </c>
      <c r="G52" s="8" t="inlineStr">
        <is>
          <t>Phase 3</t>
        </is>
      </c>
      <c r="H52" s="8" t="inlineStr">
        <is>
          <t>Phase 4</t>
        </is>
      </c>
      <c r="I52" s="8" t="n">
        <v>1</v>
      </c>
      <c r="J52" s="8" t="n"/>
      <c r="K52" s="8" t="inlineStr">
        <is>
          <t>—</t>
        </is>
      </c>
    </row>
    <row r="53">
      <c r="A53" s="6" t="inlineStr">
        <is>
          <t>Namibia</t>
        </is>
      </c>
      <c r="B53" s="6" t="n">
        <v>62.2</v>
      </c>
      <c r="C53" s="6" t="inlineStr">
        <is>
          <t>Phase 3C</t>
        </is>
      </c>
      <c r="D53" s="6" t="inlineStr">
        <is>
          <t>Phase 3</t>
        </is>
      </c>
      <c r="E53" s="6" t="inlineStr">
        <is>
          <t>Phase 2</t>
        </is>
      </c>
      <c r="F53" s="6" t="inlineStr">
        <is>
          <t>Phase 3</t>
        </is>
      </c>
      <c r="G53" s="6" t="inlineStr">
        <is>
          <t>Phase 2</t>
        </is>
      </c>
      <c r="H53" s="6" t="inlineStr">
        <is>
          <t>Phase 3</t>
        </is>
      </c>
      <c r="I53" s="6" t="n">
        <v>2</v>
      </c>
      <c r="J53" s="6" t="n"/>
      <c r="K53" s="6" t="inlineStr">
        <is>
          <t>—</t>
        </is>
      </c>
    </row>
    <row r="54">
      <c r="A54" s="8" t="inlineStr">
        <is>
          <t>Lesotho</t>
        </is>
      </c>
      <c r="B54" s="8" t="n">
        <v>41.3</v>
      </c>
      <c r="C54" s="8" t="inlineStr">
        <is>
          <t>Phase 2</t>
        </is>
      </c>
      <c r="D54" s="8" t="inlineStr">
        <is>
          <t>Phase 2</t>
        </is>
      </c>
      <c r="E54" s="8" t="inlineStr">
        <is>
          <t>Phase 2</t>
        </is>
      </c>
      <c r="F54" s="8" t="inlineStr">
        <is>
          <t>Phase 2</t>
        </is>
      </c>
      <c r="G54" s="8" t="inlineStr">
        <is>
          <t>Phase 2</t>
        </is>
      </c>
      <c r="H54" s="8" t="inlineStr">
        <is>
          <t>Phase 2</t>
        </is>
      </c>
      <c r="I54" s="8" t="n">
        <v>0</v>
      </c>
      <c r="J54" s="8" t="n"/>
      <c r="K54" s="8" t="inlineStr">
        <is>
          <t>—</t>
        </is>
      </c>
    </row>
    <row r="55">
      <c r="A55" s="6" t="inlineStr">
        <is>
          <t>Eswatini</t>
        </is>
      </c>
      <c r="B55" s="6" t="n">
        <v>41.4</v>
      </c>
      <c r="C55" s="6" t="inlineStr">
        <is>
          <t>Phase 2</t>
        </is>
      </c>
      <c r="D55" s="6" t="inlineStr">
        <is>
          <t>Phase 2</t>
        </is>
      </c>
      <c r="E55" s="6" t="inlineStr">
        <is>
          <t>Phase 2</t>
        </is>
      </c>
      <c r="F55" s="6" t="inlineStr">
        <is>
          <t>Phase 2</t>
        </is>
      </c>
      <c r="G55" s="6" t="inlineStr">
        <is>
          <t>Phase 2</t>
        </is>
      </c>
      <c r="H55" s="6" t="inlineStr">
        <is>
          <t>Phase 2</t>
        </is>
      </c>
      <c r="I55" s="6" t="n">
        <v>0</v>
      </c>
      <c r="J55" s="6" t="n"/>
      <c r="K55" s="6" t="inlineStr">
        <is>
          <t>—</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cols>
    <col width="18" customWidth="1" min="1" max="1"/>
    <col width="14" customWidth="1" min="2" max="2"/>
    <col width="10" customWidth="1" min="3" max="3"/>
    <col width="8" customWidth="1" min="4" max="4"/>
    <col width="8" customWidth="1" min="5" max="5"/>
    <col width="10" customWidth="1" min="6" max="6"/>
    <col width="10" customWidth="1" min="7" max="7"/>
    <col width="10" customWidth="1" min="8" max="8"/>
    <col width="8" customWidth="1" min="9" max="9"/>
    <col width="8" customWidth="1" min="10" max="10"/>
    <col width="12" customWidth="1" min="11" max="11"/>
    <col width="10" customWidth="1" min="12" max="12"/>
    <col width="10" customWidth="1" min="13" max="13"/>
    <col width="10" customWidth="1" min="14" max="14"/>
    <col width="9" customWidth="1" min="15" max="15"/>
    <col width="10" customWidth="1" min="16" max="16"/>
  </cols>
  <sheetData>
    <row r="1">
      <c r="A1" s="1" t="inlineStr">
        <is>
          <t>SWING SUMMARY — Ranked by Total Uncertainty (Weight + Imputation) | v5</t>
        </is>
      </c>
    </row>
    <row r="2" ht="36" customHeight="1">
      <c r="A2" s="5" t="inlineStr">
        <is>
          <t>Country</t>
        </is>
      </c>
      <c r="B2" s="5" t="inlineStr">
        <is>
          <t>Region</t>
        </is>
      </c>
      <c r="C2" s="5" t="inlineStr">
        <is>
          <t>AAI Score</t>
        </is>
      </c>
      <c r="D2" s="5" t="inlineStr">
        <is>
          <t>Econ</t>
        </is>
      </c>
      <c r="E2" s="5" t="inlineStr">
        <is>
          <t>Pol</t>
        </is>
      </c>
      <c r="F2" s="5" t="inlineStr">
        <is>
          <t>Phase</t>
        </is>
      </c>
      <c r="G2" s="5" t="inlineStr">
        <is>
          <t>Gap Label</t>
        </is>
      </c>
      <c r="H2" s="5" t="inlineStr">
        <is>
          <t>Imbalance
(pts)</t>
        </is>
      </c>
      <c r="I2" s="5" t="inlineStr">
        <is>
          <t>SAS</t>
        </is>
      </c>
      <c r="J2" s="5" t="inlineStr">
        <is>
          <t>Missing
Flag</t>
        </is>
      </c>
      <c r="K2" s="5" t="inlineStr">
        <is>
          <t>AU /
Special</t>
        </is>
      </c>
      <c r="L2" s="5" t="inlineStr">
        <is>
          <t>Weight
Swing</t>
        </is>
      </c>
      <c r="M2" s="5" t="inlineStr">
        <is>
          <t>Impute
Swing</t>
        </is>
      </c>
      <c r="N2" s="5" t="inlineStr">
        <is>
          <t>Total
Swing</t>
        </is>
      </c>
      <c r="O2" s="5" t="inlineStr">
        <is>
          <t>At-Risk?</t>
        </is>
      </c>
      <c r="P2" s="5" t="inlineStr">
        <is>
          <t>Boundary
Prox.</t>
        </is>
      </c>
    </row>
    <row r="3">
      <c r="A3" s="6" t="inlineStr">
        <is>
          <t>Eritrea</t>
        </is>
      </c>
      <c r="B3" s="6" t="inlineStr">
        <is>
          <t>East Africa</t>
        </is>
      </c>
      <c r="C3" s="6" t="n">
        <v>39.1</v>
      </c>
      <c r="D3" s="6" t="n">
        <v>45.1</v>
      </c>
      <c r="E3" s="6" t="n">
        <v>47</v>
      </c>
      <c r="F3" s="6" t="inlineStr">
        <is>
          <t>Phase 2</t>
        </is>
      </c>
      <c r="G3" s="6" t="inlineStr">
        <is>
          <t>Balanced</t>
        </is>
      </c>
      <c r="H3" s="6" t="n">
        <v>1.9</v>
      </c>
      <c r="I3" s="6" t="n">
        <v>46.1</v>
      </c>
      <c r="J3" s="6" t="n">
        <v>3</v>
      </c>
      <c r="K3" s="6" t="inlineStr"/>
      <c r="L3" s="6" t="n">
        <v>0.6</v>
      </c>
      <c r="M3" s="6" t="n">
        <v>46</v>
      </c>
      <c r="N3" s="15" t="n">
        <v>46.6</v>
      </c>
      <c r="O3" s="6" t="inlineStr">
        <is>
          <t>—</t>
        </is>
      </c>
      <c r="P3" s="6" t="n"/>
    </row>
    <row r="4">
      <c r="A4" s="8" t="inlineStr">
        <is>
          <t>Libya</t>
        </is>
      </c>
      <c r="B4" s="8" t="inlineStr">
        <is>
          <t>North Africa</t>
        </is>
      </c>
      <c r="C4" s="8" t="n">
        <v>44.7</v>
      </c>
      <c r="D4" s="8" t="n">
        <v>54.9</v>
      </c>
      <c r="E4" s="8" t="n">
        <v>42.3</v>
      </c>
      <c r="F4" s="8" t="inlineStr">
        <is>
          <t>Phase 2</t>
        </is>
      </c>
      <c r="G4" s="8" t="inlineStr">
        <is>
          <t>Watch</t>
        </is>
      </c>
      <c r="H4" s="8" t="n">
        <v>12.6</v>
      </c>
      <c r="I4" s="8" t="n">
        <v>48.6</v>
      </c>
      <c r="J4" s="8" t="n">
        <v>2</v>
      </c>
      <c r="K4" s="8" t="inlineStr"/>
      <c r="L4" s="8" t="n">
        <v>2.5</v>
      </c>
      <c r="M4" s="8" t="n">
        <v>36.8</v>
      </c>
      <c r="N4" s="15" t="n">
        <v>39.3</v>
      </c>
      <c r="O4" s="8" t="inlineStr">
        <is>
          <t>—</t>
        </is>
      </c>
      <c r="P4" s="8" t="n"/>
    </row>
    <row r="5">
      <c r="A5" s="6" t="inlineStr">
        <is>
          <t>South Sudan</t>
        </is>
      </c>
      <c r="B5" s="6" t="inlineStr">
        <is>
          <t>East Africa</t>
        </is>
      </c>
      <c r="C5" s="6" t="n">
        <v>33.6</v>
      </c>
      <c r="D5" s="6" t="n">
        <v>36.7</v>
      </c>
      <c r="E5" s="6" t="n">
        <v>36.4</v>
      </c>
      <c r="F5" s="6" t="inlineStr">
        <is>
          <t>Phase 1</t>
        </is>
      </c>
      <c r="G5" s="6" t="inlineStr">
        <is>
          <t>Balanced</t>
        </is>
      </c>
      <c r="H5" s="6" t="n">
        <v>0.3</v>
      </c>
      <c r="I5" s="6" t="n">
        <v>36.6</v>
      </c>
      <c r="J5" s="6" t="n">
        <v>2</v>
      </c>
      <c r="K5" s="6" t="inlineStr"/>
      <c r="L5" s="6" t="n">
        <v>5.1</v>
      </c>
      <c r="M5" s="6" t="n">
        <v>30.4</v>
      </c>
      <c r="N5" s="15" t="n">
        <v>35.5</v>
      </c>
      <c r="O5" s="6" t="inlineStr">
        <is>
          <t>—</t>
        </is>
      </c>
      <c r="P5" s="6" t="n"/>
    </row>
    <row r="6">
      <c r="A6" s="8" t="inlineStr">
        <is>
          <t>Somalia</t>
        </is>
      </c>
      <c r="B6" s="8" t="inlineStr">
        <is>
          <t>East Africa</t>
        </is>
      </c>
      <c r="C6" s="8" t="n">
        <v>32.9</v>
      </c>
      <c r="D6" s="8" t="n">
        <v>36.7</v>
      </c>
      <c r="E6" s="8" t="n">
        <v>34.8</v>
      </c>
      <c r="F6" s="8" t="inlineStr">
        <is>
          <t>Phase 1</t>
        </is>
      </c>
      <c r="G6" s="8" t="inlineStr">
        <is>
          <t>Balanced</t>
        </is>
      </c>
      <c r="H6" s="8" t="n">
        <v>1.9</v>
      </c>
      <c r="I6" s="8" t="n">
        <v>35.8</v>
      </c>
      <c r="J6" s="8" t="n">
        <v>2</v>
      </c>
      <c r="K6" s="8" t="inlineStr"/>
      <c r="L6" s="8" t="n">
        <v>5.1</v>
      </c>
      <c r="M6" s="8" t="n">
        <v>30.3</v>
      </c>
      <c r="N6" s="15" t="n">
        <v>35.5</v>
      </c>
      <c r="O6" s="8" t="inlineStr">
        <is>
          <t>—</t>
        </is>
      </c>
      <c r="P6" s="8" t="n"/>
    </row>
    <row r="7">
      <c r="A7" s="6" t="inlineStr">
        <is>
          <t>Comoros</t>
        </is>
      </c>
      <c r="B7" s="6" t="inlineStr">
        <is>
          <t>East Africa</t>
        </is>
      </c>
      <c r="C7" s="6" t="n">
        <v>38.3</v>
      </c>
      <c r="D7" s="6" t="n">
        <v>40.6</v>
      </c>
      <c r="E7" s="6" t="n">
        <v>42.8</v>
      </c>
      <c r="F7" s="6" t="inlineStr">
        <is>
          <t>Phase 2</t>
        </is>
      </c>
      <c r="G7" s="6" t="inlineStr">
        <is>
          <t>Balanced</t>
        </is>
      </c>
      <c r="H7" s="6" t="n">
        <v>2.2</v>
      </c>
      <c r="I7" s="6" t="n">
        <v>41.7</v>
      </c>
      <c r="J7" s="6" t="n">
        <v>2</v>
      </c>
      <c r="K7" s="6" t="inlineStr"/>
      <c r="L7" s="6" t="n">
        <v>3</v>
      </c>
      <c r="M7" s="6" t="n">
        <v>30.8</v>
      </c>
      <c r="N7" s="15" t="n">
        <v>33.9</v>
      </c>
      <c r="O7" s="6" t="inlineStr">
        <is>
          <t>—</t>
        </is>
      </c>
      <c r="P7" s="6" t="n"/>
    </row>
    <row r="8">
      <c r="A8" s="8" t="inlineStr">
        <is>
          <t>Sudan</t>
        </is>
      </c>
      <c r="B8" s="8" t="inlineStr">
        <is>
          <t>East Africa</t>
        </is>
      </c>
      <c r="C8" s="8" t="n">
        <v>36.5</v>
      </c>
      <c r="D8" s="8" t="n">
        <v>40.6</v>
      </c>
      <c r="E8" s="8" t="n">
        <v>38.8</v>
      </c>
      <c r="F8" s="8" t="inlineStr">
        <is>
          <t>Phase 2</t>
        </is>
      </c>
      <c r="G8" s="8" t="inlineStr">
        <is>
          <t>Balanced</t>
        </is>
      </c>
      <c r="H8" s="8" t="n">
        <v>1.8</v>
      </c>
      <c r="I8" s="8" t="n">
        <v>39.7</v>
      </c>
      <c r="J8" s="8" t="n">
        <v>2</v>
      </c>
      <c r="K8" s="8" t="inlineStr"/>
      <c r="L8" s="8" t="n">
        <v>3</v>
      </c>
      <c r="M8" s="8" t="n">
        <v>30.7</v>
      </c>
      <c r="N8" s="15" t="n">
        <v>33.7</v>
      </c>
      <c r="O8" s="8" t="inlineStr">
        <is>
          <t>—</t>
        </is>
      </c>
      <c r="P8" s="8" t="n"/>
    </row>
    <row r="9">
      <c r="A9" s="6" t="inlineStr">
        <is>
          <t>Niger</t>
        </is>
      </c>
      <c r="B9" s="6" t="inlineStr">
        <is>
          <t>West Africa</t>
        </is>
      </c>
      <c r="C9" s="6" t="n">
        <v>34.3</v>
      </c>
      <c r="D9" s="6" t="n">
        <v>36.3</v>
      </c>
      <c r="E9" s="6" t="n">
        <v>38.1</v>
      </c>
      <c r="F9" s="6" t="inlineStr">
        <is>
          <t>Phase 1</t>
        </is>
      </c>
      <c r="G9" s="6" t="inlineStr">
        <is>
          <t>Balanced</t>
        </is>
      </c>
      <c r="H9" s="6" t="n">
        <v>1.8</v>
      </c>
      <c r="I9" s="6" t="n">
        <v>37.2</v>
      </c>
      <c r="J9" s="6" t="n">
        <v>2</v>
      </c>
      <c r="K9" s="6" t="inlineStr">
        <is>
          <t>[1-AES] [Flag M — CFA]</t>
        </is>
      </c>
      <c r="L9" s="6" t="n">
        <v>3.4</v>
      </c>
      <c r="M9" s="6" t="n">
        <v>28.3</v>
      </c>
      <c r="N9" s="15" t="n">
        <v>31.7</v>
      </c>
      <c r="O9" s="6" t="inlineStr">
        <is>
          <t>—</t>
        </is>
      </c>
      <c r="P9" s="6" t="n"/>
    </row>
    <row r="10">
      <c r="A10" s="8" t="inlineStr">
        <is>
          <t>Guinea-Bissau</t>
        </is>
      </c>
      <c r="B10" s="8" t="inlineStr">
        <is>
          <t>West Africa</t>
        </is>
      </c>
      <c r="C10" s="8" t="n">
        <v>34.3</v>
      </c>
      <c r="D10" s="8" t="n">
        <v>36.3</v>
      </c>
      <c r="E10" s="8" t="n">
        <v>38.1</v>
      </c>
      <c r="F10" s="8" t="inlineStr">
        <is>
          <t>Phase 1</t>
        </is>
      </c>
      <c r="G10" s="8" t="inlineStr">
        <is>
          <t>Balanced</t>
        </is>
      </c>
      <c r="H10" s="8" t="n">
        <v>1.8</v>
      </c>
      <c r="I10" s="8" t="n">
        <v>37.2</v>
      </c>
      <c r="J10" s="8" t="n">
        <v>2</v>
      </c>
      <c r="K10" s="8" t="inlineStr">
        <is>
          <t>[Flag M — CFA]</t>
        </is>
      </c>
      <c r="L10" s="8" t="n">
        <v>3.4</v>
      </c>
      <c r="M10" s="8" t="n">
        <v>28.3</v>
      </c>
      <c r="N10" s="15" t="n">
        <v>31.7</v>
      </c>
      <c r="O10" s="8" t="inlineStr">
        <is>
          <t>—</t>
        </is>
      </c>
      <c r="P10" s="8" t="n"/>
    </row>
    <row r="11">
      <c r="A11" s="6" t="inlineStr">
        <is>
          <t>CAR</t>
        </is>
      </c>
      <c r="B11" s="6" t="inlineStr">
        <is>
          <t>Central Africa</t>
        </is>
      </c>
      <c r="C11" s="6" t="n">
        <v>32.3</v>
      </c>
      <c r="D11" s="6" t="n">
        <v>34.1</v>
      </c>
      <c r="E11" s="6" t="n">
        <v>36.1</v>
      </c>
      <c r="F11" s="6" t="inlineStr">
        <is>
          <t>Phase 1</t>
        </is>
      </c>
      <c r="G11" s="6" t="inlineStr">
        <is>
          <t>Balanced</t>
        </is>
      </c>
      <c r="H11" s="6" t="n">
        <v>2</v>
      </c>
      <c r="I11" s="6" t="n">
        <v>35.1</v>
      </c>
      <c r="J11" s="6" t="n">
        <v>2</v>
      </c>
      <c r="K11" s="6" t="inlineStr">
        <is>
          <t>[Flag M — CFA]</t>
        </is>
      </c>
      <c r="L11" s="6" t="n">
        <v>3.8</v>
      </c>
      <c r="M11" s="6" t="n">
        <v>27.6</v>
      </c>
      <c r="N11" s="15" t="n">
        <v>31.4</v>
      </c>
      <c r="O11" s="6" t="inlineStr">
        <is>
          <t>—</t>
        </is>
      </c>
      <c r="P11" s="6" t="n"/>
    </row>
    <row r="12">
      <c r="A12" s="8" t="inlineStr">
        <is>
          <t>Chad</t>
        </is>
      </c>
      <c r="B12" s="8" t="inlineStr">
        <is>
          <t>Central Africa</t>
        </is>
      </c>
      <c r="C12" s="8" t="n">
        <v>32.3</v>
      </c>
      <c r="D12" s="8" t="n">
        <v>35.3</v>
      </c>
      <c r="E12" s="8" t="n">
        <v>34.9</v>
      </c>
      <c r="F12" s="8" t="inlineStr">
        <is>
          <t>Phase 1</t>
        </is>
      </c>
      <c r="G12" s="8" t="inlineStr">
        <is>
          <t>Balanced</t>
        </is>
      </c>
      <c r="H12" s="8" t="n">
        <v>0.4</v>
      </c>
      <c r="I12" s="8" t="n">
        <v>35.1</v>
      </c>
      <c r="J12" s="8" t="n">
        <v>2</v>
      </c>
      <c r="K12" s="8" t="inlineStr">
        <is>
          <t>[Flag M — CFA]</t>
        </is>
      </c>
      <c r="L12" s="8" t="n">
        <v>3.2</v>
      </c>
      <c r="M12" s="8" t="n">
        <v>27.6</v>
      </c>
      <c r="N12" s="15" t="n">
        <v>30.8</v>
      </c>
      <c r="O12" s="8" t="inlineStr">
        <is>
          <t>—</t>
        </is>
      </c>
      <c r="P12" s="8" t="n"/>
    </row>
    <row r="13">
      <c r="A13" s="6" t="inlineStr">
        <is>
          <t>Mauritania</t>
        </is>
      </c>
      <c r="B13" s="6" t="inlineStr">
        <is>
          <t>North Africa</t>
        </is>
      </c>
      <c r="C13" s="6" t="n">
        <v>44.3</v>
      </c>
      <c r="D13" s="6" t="n">
        <v>46.5</v>
      </c>
      <c r="E13" s="6" t="n">
        <v>44.9</v>
      </c>
      <c r="F13" s="6" t="inlineStr">
        <is>
          <t>Phase 2</t>
        </is>
      </c>
      <c r="G13" s="6" t="inlineStr">
        <is>
          <t>Balanced</t>
        </is>
      </c>
      <c r="H13" s="6" t="n">
        <v>1.6</v>
      </c>
      <c r="I13" s="6" t="n">
        <v>45.7</v>
      </c>
      <c r="J13" s="6" t="n">
        <v>1</v>
      </c>
      <c r="K13" s="6" t="inlineStr"/>
      <c r="L13" s="6" t="n">
        <v>3.5</v>
      </c>
      <c r="M13" s="6" t="n">
        <v>18.3</v>
      </c>
      <c r="N13" s="15" t="n">
        <v>21.8</v>
      </c>
      <c r="O13" s="6" t="inlineStr">
        <is>
          <t>—</t>
        </is>
      </c>
      <c r="P13" s="6" t="n"/>
    </row>
    <row r="14">
      <c r="A14" s="8" t="inlineStr">
        <is>
          <t>Zimbabwe</t>
        </is>
      </c>
      <c r="B14" s="8" t="inlineStr">
        <is>
          <t>Southern Africa</t>
        </is>
      </c>
      <c r="C14" s="8" t="n">
        <v>41.2</v>
      </c>
      <c r="D14" s="8" t="n">
        <v>39.6</v>
      </c>
      <c r="E14" s="8" t="n">
        <v>45.4</v>
      </c>
      <c r="F14" s="8" t="inlineStr">
        <is>
          <t>Phase 2</t>
        </is>
      </c>
      <c r="G14" s="8" t="inlineStr">
        <is>
          <t>Balanced</t>
        </is>
      </c>
      <c r="H14" s="8" t="n">
        <v>5.8</v>
      </c>
      <c r="I14" s="8" t="n">
        <v>42.5</v>
      </c>
      <c r="J14" s="8" t="n">
        <v>1</v>
      </c>
      <c r="K14" s="8" t="inlineStr"/>
      <c r="L14" s="8" t="n">
        <v>4.1</v>
      </c>
      <c r="M14" s="8" t="n">
        <v>17.3</v>
      </c>
      <c r="N14" s="15" t="n">
        <v>21.4</v>
      </c>
      <c r="O14" s="8" t="inlineStr">
        <is>
          <t>—</t>
        </is>
      </c>
      <c r="P14" s="8" t="n"/>
    </row>
    <row r="15">
      <c r="A15" s="6" t="inlineStr">
        <is>
          <t>Lesotho</t>
        </is>
      </c>
      <c r="B15" s="6" t="inlineStr">
        <is>
          <t>Southern Africa</t>
        </is>
      </c>
      <c r="C15" s="6" t="n">
        <v>41.3</v>
      </c>
      <c r="D15" s="6" t="n">
        <v>39.7</v>
      </c>
      <c r="E15" s="6" t="n">
        <v>45.4</v>
      </c>
      <c r="F15" s="6" t="inlineStr">
        <is>
          <t>Phase 2</t>
        </is>
      </c>
      <c r="G15" s="6" t="inlineStr">
        <is>
          <t>Balanced</t>
        </is>
      </c>
      <c r="H15" s="6" t="n">
        <v>5.7</v>
      </c>
      <c r="I15" s="6" t="n">
        <v>42.6</v>
      </c>
      <c r="J15" s="6" t="n">
        <v>1</v>
      </c>
      <c r="K15" s="6" t="inlineStr"/>
      <c r="L15" s="6" t="n">
        <v>3.5</v>
      </c>
      <c r="M15" s="6" t="n">
        <v>17.3</v>
      </c>
      <c r="N15" s="15" t="n">
        <v>20.8</v>
      </c>
      <c r="O15" s="6" t="inlineStr">
        <is>
          <t>—</t>
        </is>
      </c>
      <c r="P15" s="6" t="n"/>
    </row>
    <row r="16">
      <c r="A16" s="8" t="inlineStr">
        <is>
          <t>Mozambique</t>
        </is>
      </c>
      <c r="B16" s="8" t="inlineStr">
        <is>
          <t>Southern Africa</t>
        </is>
      </c>
      <c r="C16" s="8" t="n">
        <v>42.9</v>
      </c>
      <c r="D16" s="8" t="n">
        <v>41.4</v>
      </c>
      <c r="E16" s="8" t="n">
        <v>46.9</v>
      </c>
      <c r="F16" s="8" t="inlineStr">
        <is>
          <t>Phase 2</t>
        </is>
      </c>
      <c r="G16" s="8" t="inlineStr">
        <is>
          <t>Balanced</t>
        </is>
      </c>
      <c r="H16" s="8" t="n">
        <v>5.5</v>
      </c>
      <c r="I16" s="8" t="n">
        <v>44.2</v>
      </c>
      <c r="J16" s="8" t="n">
        <v>1</v>
      </c>
      <c r="K16" s="8" t="inlineStr"/>
      <c r="L16" s="8" t="n">
        <v>3.4</v>
      </c>
      <c r="M16" s="8" t="n">
        <v>17.3</v>
      </c>
      <c r="N16" s="15" t="n">
        <v>20.7</v>
      </c>
      <c r="O16" s="8" t="inlineStr">
        <is>
          <t>—</t>
        </is>
      </c>
      <c r="P16" s="8" t="n"/>
    </row>
    <row r="17">
      <c r="A17" s="6" t="inlineStr">
        <is>
          <t>Madagascar</t>
        </is>
      </c>
      <c r="B17" s="6" t="inlineStr">
        <is>
          <t>Southern Africa</t>
        </is>
      </c>
      <c r="C17" s="6" t="n">
        <v>42</v>
      </c>
      <c r="D17" s="6" t="n">
        <v>41.4</v>
      </c>
      <c r="E17" s="6" t="n">
        <v>45.2</v>
      </c>
      <c r="F17" s="6" t="inlineStr">
        <is>
          <t>Phase 2</t>
        </is>
      </c>
      <c r="G17" s="6" t="inlineStr">
        <is>
          <t>Balanced</t>
        </is>
      </c>
      <c r="H17" s="6" t="n">
        <v>3.8</v>
      </c>
      <c r="I17" s="6" t="n">
        <v>43.3</v>
      </c>
      <c r="J17" s="6" t="n">
        <v>1</v>
      </c>
      <c r="K17" s="6" t="inlineStr"/>
      <c r="L17" s="6" t="n">
        <v>3.4</v>
      </c>
      <c r="M17" s="6" t="n">
        <v>17.3</v>
      </c>
      <c r="N17" s="15" t="n">
        <v>20.7</v>
      </c>
      <c r="O17" s="6" t="inlineStr">
        <is>
          <t>—</t>
        </is>
      </c>
      <c r="P17" s="6" t="n"/>
    </row>
    <row r="18">
      <c r="A18" s="8" t="inlineStr">
        <is>
          <t>Eswatini</t>
        </is>
      </c>
      <c r="B18" s="8" t="inlineStr">
        <is>
          <t>Southern Africa</t>
        </is>
      </c>
      <c r="C18" s="8" t="n">
        <v>41.4</v>
      </c>
      <c r="D18" s="8" t="n">
        <v>43</v>
      </c>
      <c r="E18" s="8" t="n">
        <v>42.4</v>
      </c>
      <c r="F18" s="8" t="inlineStr">
        <is>
          <t>Phase 2</t>
        </is>
      </c>
      <c r="G18" s="8" t="inlineStr">
        <is>
          <t>Balanced</t>
        </is>
      </c>
      <c r="H18" s="8" t="n">
        <v>0.6</v>
      </c>
      <c r="I18" s="8" t="n">
        <v>42.7</v>
      </c>
      <c r="J18" s="8" t="n">
        <v>1</v>
      </c>
      <c r="K18" s="8" t="inlineStr"/>
      <c r="L18" s="8" t="n">
        <v>2.8</v>
      </c>
      <c r="M18" s="8" t="n">
        <v>17.3</v>
      </c>
      <c r="N18" s="15" t="n">
        <v>20.1</v>
      </c>
      <c r="O18" s="8" t="inlineStr">
        <is>
          <t>—</t>
        </is>
      </c>
      <c r="P18" s="8" t="n"/>
    </row>
    <row r="19">
      <c r="A19" s="6" t="inlineStr">
        <is>
          <t>Burundi</t>
        </is>
      </c>
      <c r="B19" s="6" t="inlineStr">
        <is>
          <t>East Africa</t>
        </is>
      </c>
      <c r="C19" s="6" t="n">
        <v>33.8</v>
      </c>
      <c r="D19" s="6" t="n">
        <v>34.5</v>
      </c>
      <c r="E19" s="6" t="n">
        <v>35.3</v>
      </c>
      <c r="F19" s="6" t="inlineStr">
        <is>
          <t>Phase 1</t>
        </is>
      </c>
      <c r="G19" s="6" t="inlineStr">
        <is>
          <t>Balanced</t>
        </is>
      </c>
      <c r="H19" s="6" t="n">
        <v>0.8</v>
      </c>
      <c r="I19" s="6" t="n">
        <v>34.9</v>
      </c>
      <c r="J19" s="6" t="n">
        <v>1</v>
      </c>
      <c r="K19" s="6" t="inlineStr"/>
      <c r="L19" s="6" t="n">
        <v>3.4</v>
      </c>
      <c r="M19" s="6" t="n">
        <v>15.5</v>
      </c>
      <c r="N19" s="15" t="n">
        <v>18.9</v>
      </c>
      <c r="O19" s="6" t="inlineStr">
        <is>
          <t>—</t>
        </is>
      </c>
      <c r="P19" s="6" t="n"/>
    </row>
    <row r="20">
      <c r="A20" s="8" t="inlineStr">
        <is>
          <t>Burkina Faso</t>
        </is>
      </c>
      <c r="B20" s="8" t="inlineStr">
        <is>
          <t>West Africa</t>
        </is>
      </c>
      <c r="C20" s="8" t="n">
        <v>28.5</v>
      </c>
      <c r="D20" s="8" t="n">
        <v>32</v>
      </c>
      <c r="E20" s="8" t="n">
        <v>26.8</v>
      </c>
      <c r="F20" s="8" t="inlineStr">
        <is>
          <t>Phase 1</t>
        </is>
      </c>
      <c r="G20" s="8" t="inlineStr">
        <is>
          <t>Balanced</t>
        </is>
      </c>
      <c r="H20" s="8" t="n">
        <v>5.2</v>
      </c>
      <c r="I20" s="8" t="n">
        <v>29.4</v>
      </c>
      <c r="J20" s="8" t="n">
        <v>1</v>
      </c>
      <c r="K20" s="8" t="inlineStr">
        <is>
          <t>[1-AES] [Flag M — CFA]</t>
        </is>
      </c>
      <c r="L20" s="8" t="n">
        <v>3.7</v>
      </c>
      <c r="M20" s="8" t="n">
        <v>14.2</v>
      </c>
      <c r="N20" s="15" t="n">
        <v>17.9</v>
      </c>
      <c r="O20" s="8" t="inlineStr">
        <is>
          <t>—</t>
        </is>
      </c>
      <c r="P20" s="8" t="n"/>
    </row>
    <row r="21">
      <c r="A21" s="6" t="inlineStr">
        <is>
          <t>Gambia</t>
        </is>
      </c>
      <c r="B21" s="6" t="inlineStr">
        <is>
          <t>West Africa</t>
        </is>
      </c>
      <c r="C21" s="6" t="n">
        <v>34.6</v>
      </c>
      <c r="D21" s="6" t="n">
        <v>32.2</v>
      </c>
      <c r="E21" s="6" t="n">
        <v>39.2</v>
      </c>
      <c r="F21" s="6" t="inlineStr">
        <is>
          <t>Phase 1</t>
        </is>
      </c>
      <c r="G21" s="6" t="inlineStr">
        <is>
          <t>Balanced</t>
        </is>
      </c>
      <c r="H21" s="6" t="n">
        <v>7</v>
      </c>
      <c r="I21" s="6" t="n">
        <v>35.7</v>
      </c>
      <c r="J21" s="6" t="n">
        <v>1</v>
      </c>
      <c r="K21" s="6" t="inlineStr"/>
      <c r="L21" s="6" t="n">
        <v>3.2</v>
      </c>
      <c r="M21" s="6" t="n">
        <v>14.2</v>
      </c>
      <c r="N21" s="15" t="n">
        <v>17.4</v>
      </c>
      <c r="O21" s="6" t="inlineStr">
        <is>
          <t>—</t>
        </is>
      </c>
      <c r="P21" s="6" t="n"/>
    </row>
    <row r="22">
      <c r="A22" s="8" t="inlineStr">
        <is>
          <t>Mali</t>
        </is>
      </c>
      <c r="B22" s="8" t="inlineStr">
        <is>
          <t>West Africa</t>
        </is>
      </c>
      <c r="C22" s="8" t="n">
        <v>30.2</v>
      </c>
      <c r="D22" s="8" t="n">
        <v>33.6</v>
      </c>
      <c r="E22" s="8" t="n">
        <v>28.6</v>
      </c>
      <c r="F22" s="8" t="inlineStr">
        <is>
          <t>Phase 1</t>
        </is>
      </c>
      <c r="G22" s="8" t="inlineStr">
        <is>
          <t>Balanced</t>
        </is>
      </c>
      <c r="H22" s="8" t="n">
        <v>5</v>
      </c>
      <c r="I22" s="8" t="n">
        <v>31.1</v>
      </c>
      <c r="J22" s="8" t="n">
        <v>1</v>
      </c>
      <c r="K22" s="8" t="inlineStr">
        <is>
          <t>[1-AES] [Flag M — CFA]</t>
        </is>
      </c>
      <c r="L22" s="8" t="n">
        <v>3.2</v>
      </c>
      <c r="M22" s="8" t="n">
        <v>14.2</v>
      </c>
      <c r="N22" s="15" t="n">
        <v>17.4</v>
      </c>
      <c r="O22" s="8" t="inlineStr">
        <is>
          <t>—</t>
        </is>
      </c>
      <c r="P22" s="8" t="n"/>
    </row>
    <row r="23">
      <c r="A23" s="6" t="inlineStr">
        <is>
          <t>Djibouti</t>
        </is>
      </c>
      <c r="B23" s="6" t="inlineStr">
        <is>
          <t>East Africa</t>
        </is>
      </c>
      <c r="C23" s="6" t="n">
        <v>44.2</v>
      </c>
      <c r="D23" s="6" t="n">
        <v>42.4</v>
      </c>
      <c r="E23" s="6" t="n">
        <v>48.7</v>
      </c>
      <c r="F23" s="6" t="inlineStr">
        <is>
          <t>Phase 2</t>
        </is>
      </c>
      <c r="G23" s="6" t="inlineStr">
        <is>
          <t>Balanced</t>
        </is>
      </c>
      <c r="H23" s="6" t="n">
        <v>6.3</v>
      </c>
      <c r="I23" s="6" t="n">
        <v>45.6</v>
      </c>
      <c r="J23" s="6" t="n">
        <v>1</v>
      </c>
      <c r="K23" s="6" t="inlineStr"/>
      <c r="L23" s="6" t="n">
        <v>1.5</v>
      </c>
      <c r="M23" s="6" t="n">
        <v>15.8</v>
      </c>
      <c r="N23" s="15" t="n">
        <v>17.3</v>
      </c>
      <c r="O23" s="6" t="inlineStr">
        <is>
          <t>—</t>
        </is>
      </c>
      <c r="P23" s="6" t="n"/>
    </row>
    <row r="24">
      <c r="A24" s="8" t="inlineStr">
        <is>
          <t>Liberia</t>
        </is>
      </c>
      <c r="B24" s="8" t="inlineStr">
        <is>
          <t>West Africa</t>
        </is>
      </c>
      <c r="C24" s="8" t="n">
        <v>36.5</v>
      </c>
      <c r="D24" s="8" t="n">
        <v>34.5</v>
      </c>
      <c r="E24" s="8" t="n">
        <v>40.6</v>
      </c>
      <c r="F24" s="8" t="inlineStr">
        <is>
          <t>Phase 2</t>
        </is>
      </c>
      <c r="G24" s="8" t="inlineStr">
        <is>
          <t>Balanced</t>
        </is>
      </c>
      <c r="H24" s="8" t="n">
        <v>6.1</v>
      </c>
      <c r="I24" s="8" t="n">
        <v>37.6</v>
      </c>
      <c r="J24" s="8" t="n">
        <v>1</v>
      </c>
      <c r="K24" s="8" t="inlineStr"/>
      <c r="L24" s="8" t="n">
        <v>2.7</v>
      </c>
      <c r="M24" s="8" t="n">
        <v>14.3</v>
      </c>
      <c r="N24" s="15" t="n">
        <v>16.9</v>
      </c>
      <c r="O24" s="8" t="inlineStr">
        <is>
          <t>—</t>
        </is>
      </c>
      <c r="P24" s="8" t="n"/>
    </row>
    <row r="25">
      <c r="A25" s="6" t="inlineStr">
        <is>
          <t>Guinea</t>
        </is>
      </c>
      <c r="B25" s="6" t="inlineStr">
        <is>
          <t>West Africa</t>
        </is>
      </c>
      <c r="C25" s="6" t="n">
        <v>33.1</v>
      </c>
      <c r="D25" s="6" t="n">
        <v>35.9</v>
      </c>
      <c r="E25" s="6" t="n">
        <v>32.4</v>
      </c>
      <c r="F25" s="6" t="inlineStr">
        <is>
          <t>Phase 1</t>
        </is>
      </c>
      <c r="G25" s="6" t="inlineStr">
        <is>
          <t>Balanced</t>
        </is>
      </c>
      <c r="H25" s="6" t="n">
        <v>3.5</v>
      </c>
      <c r="I25" s="6" t="n">
        <v>34.2</v>
      </c>
      <c r="J25" s="6" t="n">
        <v>1</v>
      </c>
      <c r="K25" s="6" t="inlineStr"/>
      <c r="L25" s="6" t="n">
        <v>2.6</v>
      </c>
      <c r="M25" s="6" t="n">
        <v>14.2</v>
      </c>
      <c r="N25" s="15" t="n">
        <v>16.8</v>
      </c>
      <c r="O25" s="6" t="inlineStr">
        <is>
          <t>—</t>
        </is>
      </c>
      <c r="P25" s="6" t="n"/>
    </row>
    <row r="26">
      <c r="A26" s="8" t="inlineStr">
        <is>
          <t>Congo</t>
        </is>
      </c>
      <c r="B26" s="8" t="inlineStr">
        <is>
          <t>Central Africa</t>
        </is>
      </c>
      <c r="C26" s="8" t="n">
        <v>38.8</v>
      </c>
      <c r="D26" s="8" t="n">
        <v>39.3</v>
      </c>
      <c r="E26" s="8" t="n">
        <v>40.6</v>
      </c>
      <c r="F26" s="8" t="inlineStr">
        <is>
          <t>Phase 2</t>
        </is>
      </c>
      <c r="G26" s="8" t="inlineStr">
        <is>
          <t>Balanced</t>
        </is>
      </c>
      <c r="H26" s="8" t="n">
        <v>1.3</v>
      </c>
      <c r="I26" s="8" t="n">
        <v>39.9</v>
      </c>
      <c r="J26" s="8" t="n">
        <v>1</v>
      </c>
      <c r="K26" s="8" t="inlineStr">
        <is>
          <t>[Flag M — CFA]</t>
        </is>
      </c>
      <c r="L26" s="8" t="n">
        <v>2.5</v>
      </c>
      <c r="M26" s="8" t="n">
        <v>14.3</v>
      </c>
      <c r="N26" s="15" t="n">
        <v>16.7</v>
      </c>
      <c r="O26" s="8" t="inlineStr">
        <is>
          <t>—</t>
        </is>
      </c>
      <c r="P26" s="8" t="n"/>
    </row>
    <row r="27">
      <c r="A27" s="6" t="inlineStr">
        <is>
          <t>DR Congo</t>
        </is>
      </c>
      <c r="B27" s="6" t="inlineStr">
        <is>
          <t>Central Africa</t>
        </is>
      </c>
      <c r="C27" s="6" t="n">
        <v>36</v>
      </c>
      <c r="D27" s="6" t="n">
        <v>37.7</v>
      </c>
      <c r="E27" s="6" t="n">
        <v>36.5</v>
      </c>
      <c r="F27" s="6" t="inlineStr">
        <is>
          <t>Phase 1</t>
        </is>
      </c>
      <c r="G27" s="6" t="inlineStr">
        <is>
          <t>Balanced</t>
        </is>
      </c>
      <c r="H27" s="6" t="n">
        <v>1.2</v>
      </c>
      <c r="I27" s="6" t="n">
        <v>37.1</v>
      </c>
      <c r="J27" s="6" t="n">
        <v>1</v>
      </c>
      <c r="K27" s="6" t="inlineStr"/>
      <c r="L27" s="6" t="n">
        <v>2.4</v>
      </c>
      <c r="M27" s="6" t="n">
        <v>14.3</v>
      </c>
      <c r="N27" s="15" t="n">
        <v>16.6</v>
      </c>
      <c r="O27" s="6" t="inlineStr">
        <is>
          <t>—</t>
        </is>
      </c>
      <c r="P27" s="6" t="n"/>
    </row>
    <row r="28">
      <c r="A28" s="8" t="inlineStr">
        <is>
          <t>Sierra Leone</t>
        </is>
      </c>
      <c r="B28" s="8" t="inlineStr">
        <is>
          <t>West Africa</t>
        </is>
      </c>
      <c r="C28" s="8" t="n">
        <v>37.9</v>
      </c>
      <c r="D28" s="8" t="n">
        <v>36.2</v>
      </c>
      <c r="E28" s="8" t="n">
        <v>42</v>
      </c>
      <c r="F28" s="8" t="inlineStr">
        <is>
          <t>Phase 2</t>
        </is>
      </c>
      <c r="G28" s="8" t="inlineStr">
        <is>
          <t>Balanced</t>
        </is>
      </c>
      <c r="H28" s="8" t="n">
        <v>5.8</v>
      </c>
      <c r="I28" s="8" t="n">
        <v>39.1</v>
      </c>
      <c r="J28" s="8" t="n">
        <v>1</v>
      </c>
      <c r="K28" s="8" t="inlineStr"/>
      <c r="L28" s="8" t="n">
        <v>2.2</v>
      </c>
      <c r="M28" s="8" t="n">
        <v>14.2</v>
      </c>
      <c r="N28" s="15" t="n">
        <v>16.5</v>
      </c>
      <c r="O28" s="8" t="inlineStr">
        <is>
          <t>—</t>
        </is>
      </c>
      <c r="P28" s="8" t="n"/>
    </row>
    <row r="29">
      <c r="A29" s="6" t="inlineStr">
        <is>
          <t>São Tomé</t>
        </is>
      </c>
      <c r="B29" s="6" t="inlineStr">
        <is>
          <t>Central Africa</t>
        </is>
      </c>
      <c r="C29" s="6" t="n">
        <v>36.7</v>
      </c>
      <c r="D29" s="6" t="n">
        <v>36.9</v>
      </c>
      <c r="E29" s="6" t="n">
        <v>38.8</v>
      </c>
      <c r="F29" s="6" t="inlineStr">
        <is>
          <t>Phase 2</t>
        </is>
      </c>
      <c r="G29" s="6" t="inlineStr">
        <is>
          <t>Balanced</t>
        </is>
      </c>
      <c r="H29" s="6" t="n">
        <v>1.9</v>
      </c>
      <c r="I29" s="6" t="n">
        <v>37.8</v>
      </c>
      <c r="J29" s="6" t="n">
        <v>1</v>
      </c>
      <c r="K29" s="6" t="inlineStr"/>
      <c r="L29" s="6" t="n">
        <v>2</v>
      </c>
      <c r="M29" s="6" t="n">
        <v>14.2</v>
      </c>
      <c r="N29" s="15" t="n">
        <v>16.3</v>
      </c>
      <c r="O29" s="6" t="inlineStr">
        <is>
          <t>—</t>
        </is>
      </c>
      <c r="P29" s="6" t="n"/>
    </row>
    <row r="30">
      <c r="A30" s="8" t="inlineStr">
        <is>
          <t>Equatorial Guinea</t>
        </is>
      </c>
      <c r="B30" s="8" t="inlineStr">
        <is>
          <t>Central Africa</t>
        </is>
      </c>
      <c r="C30" s="8" t="n">
        <v>37</v>
      </c>
      <c r="D30" s="8" t="n">
        <v>40.7</v>
      </c>
      <c r="E30" s="8" t="n">
        <v>35.7</v>
      </c>
      <c r="F30" s="8" t="inlineStr">
        <is>
          <t>Phase 2</t>
        </is>
      </c>
      <c r="G30" s="8" t="inlineStr">
        <is>
          <t>Balanced</t>
        </is>
      </c>
      <c r="H30" s="8" t="n">
        <v>5</v>
      </c>
      <c r="I30" s="8" t="n">
        <v>38.2</v>
      </c>
      <c r="J30" s="8" t="n">
        <v>1</v>
      </c>
      <c r="K30" s="8" t="inlineStr">
        <is>
          <t>[Flag M — CFA]</t>
        </is>
      </c>
      <c r="L30" s="8" t="n">
        <v>1</v>
      </c>
      <c r="M30" s="8" t="n">
        <v>14.2</v>
      </c>
      <c r="N30" s="15" t="n">
        <v>15.2</v>
      </c>
      <c r="O30" s="8" t="inlineStr">
        <is>
          <t>—</t>
        </is>
      </c>
      <c r="P30" s="8" t="n"/>
    </row>
    <row r="31">
      <c r="A31" s="6" t="inlineStr">
        <is>
          <t>Rwanda</t>
        </is>
      </c>
      <c r="B31" s="6" t="inlineStr">
        <is>
          <t>East Africa</t>
        </is>
      </c>
      <c r="C31" s="6" t="n">
        <v>67</v>
      </c>
      <c r="D31" s="6" t="n">
        <v>57</v>
      </c>
      <c r="E31" s="6" t="n">
        <v>76.90000000000001</v>
      </c>
      <c r="F31" s="6" t="inlineStr">
        <is>
          <t>Phase 3B</t>
        </is>
      </c>
      <c r="G31" s="6" t="inlineStr">
        <is>
          <t>Watch</t>
        </is>
      </c>
      <c r="H31" s="6" t="n">
        <v>19.9</v>
      </c>
      <c r="I31" s="6" t="n">
        <v>67</v>
      </c>
      <c r="J31" s="6" t="n">
        <v>0</v>
      </c>
      <c r="K31" s="6" t="inlineStr"/>
      <c r="L31" s="6" t="n">
        <v>5.5</v>
      </c>
      <c r="M31" s="6" t="n">
        <v>0</v>
      </c>
      <c r="N31" s="6" t="n">
        <v>5.5</v>
      </c>
      <c r="O31" s="6" t="inlineStr">
        <is>
          <t>—</t>
        </is>
      </c>
      <c r="P31" s="6" t="n"/>
    </row>
    <row r="32">
      <c r="A32" s="8" t="inlineStr">
        <is>
          <t>Côte d'Ivoire</t>
        </is>
      </c>
      <c r="B32" s="8" t="inlineStr">
        <is>
          <t>West Africa</t>
        </is>
      </c>
      <c r="C32" s="8" t="n">
        <v>53.2</v>
      </c>
      <c r="D32" s="8" t="n">
        <v>47.9</v>
      </c>
      <c r="E32" s="8" t="n">
        <v>58.4</v>
      </c>
      <c r="F32" s="8" t="inlineStr">
        <is>
          <t>Phase 2</t>
        </is>
      </c>
      <c r="G32" s="8" t="inlineStr">
        <is>
          <t>Watch</t>
        </is>
      </c>
      <c r="H32" s="8" t="n">
        <v>10.5</v>
      </c>
      <c r="I32" s="8" t="n">
        <v>53.2</v>
      </c>
      <c r="J32" s="8" t="n">
        <v>0</v>
      </c>
      <c r="K32" s="8" t="inlineStr">
        <is>
          <t>[Flag M — CFA]</t>
        </is>
      </c>
      <c r="L32" s="8" t="n">
        <v>5.2</v>
      </c>
      <c r="M32" s="8" t="n">
        <v>0</v>
      </c>
      <c r="N32" s="8" t="n">
        <v>5.2</v>
      </c>
      <c r="O32" s="8" t="inlineStr">
        <is>
          <t>—</t>
        </is>
      </c>
      <c r="P32" s="8" t="n"/>
    </row>
    <row r="33">
      <c r="A33" s="6" t="inlineStr">
        <is>
          <t>Senegal</t>
        </is>
      </c>
      <c r="B33" s="6" t="inlineStr">
        <is>
          <t>West Africa</t>
        </is>
      </c>
      <c r="C33" s="6" t="n">
        <v>59.4</v>
      </c>
      <c r="D33" s="6" t="n">
        <v>46.4</v>
      </c>
      <c r="E33" s="6" t="n">
        <v>72.40000000000001</v>
      </c>
      <c r="F33" s="6" t="inlineStr">
        <is>
          <t>Phase 2</t>
        </is>
      </c>
      <c r="G33" s="6" t="inlineStr">
        <is>
          <t>At-Risk</t>
        </is>
      </c>
      <c r="H33" s="6" t="n">
        <v>26</v>
      </c>
      <c r="I33" s="6" t="n">
        <v>59.4</v>
      </c>
      <c r="J33" s="6" t="n">
        <v>0</v>
      </c>
      <c r="K33" s="6" t="inlineStr">
        <is>
          <t>[Flag M — CFA]</t>
        </is>
      </c>
      <c r="L33" s="6" t="n">
        <v>5.2</v>
      </c>
      <c r="M33" s="6" t="n">
        <v>0</v>
      </c>
      <c r="N33" s="6" t="n">
        <v>5.2</v>
      </c>
      <c r="O33" s="6" t="inlineStr">
        <is>
          <t>—</t>
        </is>
      </c>
      <c r="P33" s="6" t="n"/>
    </row>
    <row r="34">
      <c r="A34" s="8" t="inlineStr">
        <is>
          <t>Cameroon</t>
        </is>
      </c>
      <c r="B34" s="8" t="inlineStr">
        <is>
          <t>Central Africa</t>
        </is>
      </c>
      <c r="C34" s="8" t="n">
        <v>49.1</v>
      </c>
      <c r="D34" s="8" t="n">
        <v>47.5</v>
      </c>
      <c r="E34" s="8" t="n">
        <v>50.8</v>
      </c>
      <c r="F34" s="8" t="inlineStr">
        <is>
          <t>Phase 2</t>
        </is>
      </c>
      <c r="G34" s="8" t="inlineStr">
        <is>
          <t>Balanced</t>
        </is>
      </c>
      <c r="H34" s="8" t="n">
        <v>3.3</v>
      </c>
      <c r="I34" s="8" t="n">
        <v>49.2</v>
      </c>
      <c r="J34" s="8" t="n">
        <v>0</v>
      </c>
      <c r="K34" s="8" t="inlineStr">
        <is>
          <t>[Flag M — CFA]</t>
        </is>
      </c>
      <c r="L34" s="8" t="n">
        <v>4.4</v>
      </c>
      <c r="M34" s="8" t="n">
        <v>0</v>
      </c>
      <c r="N34" s="8" t="n">
        <v>4.4</v>
      </c>
      <c r="O34" s="8" t="inlineStr">
        <is>
          <t>—</t>
        </is>
      </c>
      <c r="P34" s="8" t="n"/>
    </row>
    <row r="35">
      <c r="A35" s="6" t="inlineStr">
        <is>
          <t>Ghana</t>
        </is>
      </c>
      <c r="B35" s="6" t="inlineStr">
        <is>
          <t>West Africa</t>
        </is>
      </c>
      <c r="C35" s="6" t="n">
        <v>60</v>
      </c>
      <c r="D35" s="6" t="n">
        <v>58</v>
      </c>
      <c r="E35" s="6" t="n">
        <v>62.1</v>
      </c>
      <c r="F35" s="6" t="inlineStr">
        <is>
          <t>Phase 2</t>
        </is>
      </c>
      <c r="G35" s="6" t="inlineStr">
        <is>
          <t>Balanced</t>
        </is>
      </c>
      <c r="H35" s="6" t="n">
        <v>4.1</v>
      </c>
      <c r="I35" s="6" t="n">
        <v>60</v>
      </c>
      <c r="J35" s="6" t="n">
        <v>0</v>
      </c>
      <c r="K35" s="6" t="inlineStr"/>
      <c r="L35" s="6" t="n">
        <v>3.5</v>
      </c>
      <c r="M35" s="6" t="n">
        <v>0</v>
      </c>
      <c r="N35" s="6" t="n">
        <v>3.5</v>
      </c>
      <c r="O35" s="6" t="inlineStr">
        <is>
          <t>—</t>
        </is>
      </c>
      <c r="P35" s="6" t="n"/>
    </row>
    <row r="36">
      <c r="A36" s="8" t="inlineStr">
        <is>
          <t>Algeria</t>
        </is>
      </c>
      <c r="B36" s="8" t="inlineStr">
        <is>
          <t>North Africa</t>
        </is>
      </c>
      <c r="C36" s="8" t="n">
        <v>65</v>
      </c>
      <c r="D36" s="8" t="n">
        <v>73.09999999999999</v>
      </c>
      <c r="E36" s="8" t="n">
        <v>56.8</v>
      </c>
      <c r="F36" s="8" t="inlineStr">
        <is>
          <t>Phase 3A</t>
        </is>
      </c>
      <c r="G36" s="8" t="inlineStr">
        <is>
          <t>Watch</t>
        </is>
      </c>
      <c r="H36" s="8" t="n">
        <v>16.3</v>
      </c>
      <c r="I36" s="8" t="n">
        <v>65</v>
      </c>
      <c r="J36" s="8" t="n">
        <v>0</v>
      </c>
      <c r="K36" s="8" t="inlineStr"/>
      <c r="L36" s="8" t="n">
        <v>3.3</v>
      </c>
      <c r="M36" s="8" t="n">
        <v>0</v>
      </c>
      <c r="N36" s="8" t="n">
        <v>3.3</v>
      </c>
      <c r="O36" s="8" t="inlineStr">
        <is>
          <t>—</t>
        </is>
      </c>
      <c r="P36" s="8" t="n"/>
    </row>
    <row r="37">
      <c r="A37" s="6" t="inlineStr">
        <is>
          <t>Benin</t>
        </is>
      </c>
      <c r="B37" s="6" t="inlineStr">
        <is>
          <t>West Africa</t>
        </is>
      </c>
      <c r="C37" s="6" t="n">
        <v>46.3</v>
      </c>
      <c r="D37" s="6" t="n">
        <v>42.6</v>
      </c>
      <c r="E37" s="6" t="n">
        <v>50</v>
      </c>
      <c r="F37" s="6" t="inlineStr">
        <is>
          <t>Phase 2</t>
        </is>
      </c>
      <c r="G37" s="6" t="inlineStr">
        <is>
          <t>Balanced</t>
        </is>
      </c>
      <c r="H37" s="6" t="n">
        <v>7.4</v>
      </c>
      <c r="I37" s="6" t="n">
        <v>46.3</v>
      </c>
      <c r="J37" s="6" t="n">
        <v>0</v>
      </c>
      <c r="K37" s="6" t="inlineStr">
        <is>
          <t>[Flag M — CFA]</t>
        </is>
      </c>
      <c r="L37" s="6" t="n">
        <v>3.1</v>
      </c>
      <c r="M37" s="6" t="n">
        <v>0</v>
      </c>
      <c r="N37" s="6" t="n">
        <v>3.1</v>
      </c>
      <c r="O37" s="6" t="inlineStr">
        <is>
          <t>—</t>
        </is>
      </c>
      <c r="P37" s="6" t="n"/>
    </row>
    <row r="38">
      <c r="A38" s="8" t="inlineStr">
        <is>
          <t>Togo</t>
        </is>
      </c>
      <c r="B38" s="8" t="inlineStr">
        <is>
          <t>West Africa</t>
        </is>
      </c>
      <c r="C38" s="8" t="n">
        <v>43.6</v>
      </c>
      <c r="D38" s="8" t="n">
        <v>39.6</v>
      </c>
      <c r="E38" s="8" t="n">
        <v>47.7</v>
      </c>
      <c r="F38" s="8" t="inlineStr">
        <is>
          <t>Phase 2</t>
        </is>
      </c>
      <c r="G38" s="8" t="inlineStr">
        <is>
          <t>Balanced</t>
        </is>
      </c>
      <c r="H38" s="8" t="n">
        <v>8.1</v>
      </c>
      <c r="I38" s="8" t="n">
        <v>43.6</v>
      </c>
      <c r="J38" s="8" t="n">
        <v>0</v>
      </c>
      <c r="K38" s="8" t="inlineStr">
        <is>
          <t>[Flag M — CFA]</t>
        </is>
      </c>
      <c r="L38" s="8" t="n">
        <v>3</v>
      </c>
      <c r="M38" s="8" t="n">
        <v>0</v>
      </c>
      <c r="N38" s="8" t="n">
        <v>3</v>
      </c>
      <c r="O38" s="8" t="inlineStr">
        <is>
          <t>—</t>
        </is>
      </c>
      <c r="P38" s="8" t="n"/>
    </row>
    <row r="39">
      <c r="A39" s="6" t="inlineStr">
        <is>
          <t>Nigeria</t>
        </is>
      </c>
      <c r="B39" s="6" t="inlineStr">
        <is>
          <t>West Africa</t>
        </is>
      </c>
      <c r="C39" s="6" t="n">
        <v>56.6</v>
      </c>
      <c r="D39" s="6" t="n">
        <v>62.4</v>
      </c>
      <c r="E39" s="6" t="n">
        <v>50.7</v>
      </c>
      <c r="F39" s="6" t="inlineStr">
        <is>
          <t>Phase 2</t>
        </is>
      </c>
      <c r="G39" s="6" t="inlineStr">
        <is>
          <t>Watch</t>
        </is>
      </c>
      <c r="H39" s="6" t="n">
        <v>11.7</v>
      </c>
      <c r="I39" s="6" t="n">
        <v>56.6</v>
      </c>
      <c r="J39" s="6" t="n">
        <v>0</v>
      </c>
      <c r="K39" s="6" t="inlineStr"/>
      <c r="L39" s="6" t="n">
        <v>2.9</v>
      </c>
      <c r="M39" s="6" t="n">
        <v>0</v>
      </c>
      <c r="N39" s="6" t="n">
        <v>2.9</v>
      </c>
      <c r="O39" s="6" t="inlineStr">
        <is>
          <t>—</t>
        </is>
      </c>
      <c r="P39" s="6" t="n"/>
    </row>
    <row r="40">
      <c r="A40" s="8" t="inlineStr">
        <is>
          <t>Morocco</t>
        </is>
      </c>
      <c r="B40" s="8" t="inlineStr">
        <is>
          <t>North Africa</t>
        </is>
      </c>
      <c r="C40" s="8" t="n">
        <v>66.2</v>
      </c>
      <c r="D40" s="8" t="n">
        <v>69.8</v>
      </c>
      <c r="E40" s="8" t="n">
        <v>62.6</v>
      </c>
      <c r="F40" s="8" t="inlineStr">
        <is>
          <t>Phase 3C</t>
        </is>
      </c>
      <c r="G40" s="8" t="inlineStr">
        <is>
          <t>Balanced</t>
        </is>
      </c>
      <c r="H40" s="8" t="n">
        <v>7.2</v>
      </c>
      <c r="I40" s="8" t="n">
        <v>66.2</v>
      </c>
      <c r="J40" s="8" t="n">
        <v>0</v>
      </c>
      <c r="K40" s="8" t="inlineStr"/>
      <c r="L40" s="8" t="n">
        <v>2.8</v>
      </c>
      <c r="M40" s="8" t="n">
        <v>0</v>
      </c>
      <c r="N40" s="8" t="n">
        <v>2.8</v>
      </c>
      <c r="O40" s="8" t="inlineStr">
        <is>
          <t>—</t>
        </is>
      </c>
      <c r="P40" s="8" t="n"/>
    </row>
    <row r="41">
      <c r="A41" s="6" t="inlineStr">
        <is>
          <t>Gabon</t>
        </is>
      </c>
      <c r="B41" s="6" t="inlineStr">
        <is>
          <t>Central Africa</t>
        </is>
      </c>
      <c r="C41" s="6" t="n">
        <v>50.6</v>
      </c>
      <c r="D41" s="6" t="n">
        <v>52.7</v>
      </c>
      <c r="E41" s="6" t="n">
        <v>48.5</v>
      </c>
      <c r="F41" s="6" t="inlineStr">
        <is>
          <t>Phase 2</t>
        </is>
      </c>
      <c r="G41" s="6" t="inlineStr">
        <is>
          <t>Balanced</t>
        </is>
      </c>
      <c r="H41" s="6" t="n">
        <v>4.2</v>
      </c>
      <c r="I41" s="6" t="n">
        <v>50.6</v>
      </c>
      <c r="J41" s="6" t="n">
        <v>0</v>
      </c>
      <c r="K41" s="6" t="inlineStr">
        <is>
          <t>[Flag M — CFA]</t>
        </is>
      </c>
      <c r="L41" s="6" t="n">
        <v>2.8</v>
      </c>
      <c r="M41" s="6" t="n">
        <v>0</v>
      </c>
      <c r="N41" s="6" t="n">
        <v>2.8</v>
      </c>
      <c r="O41" s="6" t="inlineStr">
        <is>
          <t>—</t>
        </is>
      </c>
      <c r="P41" s="6" t="n"/>
    </row>
    <row r="42">
      <c r="A42" s="8" t="inlineStr">
        <is>
          <t>Botswana</t>
        </is>
      </c>
      <c r="B42" s="8" t="inlineStr">
        <is>
          <t>Southern Africa</t>
        </is>
      </c>
      <c r="C42" s="8" t="n">
        <v>85.90000000000001</v>
      </c>
      <c r="D42" s="8" t="n">
        <v>84.59999999999999</v>
      </c>
      <c r="E42" s="8" t="n">
        <v>87.09999999999999</v>
      </c>
      <c r="F42" s="8" t="inlineStr">
        <is>
          <t>Phase 4</t>
        </is>
      </c>
      <c r="G42" s="8" t="inlineStr">
        <is>
          <t>Balanced</t>
        </is>
      </c>
      <c r="H42" s="8" t="n">
        <v>2.5</v>
      </c>
      <c r="I42" s="8" t="n">
        <v>85.8</v>
      </c>
      <c r="J42" s="8" t="n">
        <v>0</v>
      </c>
      <c r="K42" s="8" t="inlineStr"/>
      <c r="L42" s="8" t="n">
        <v>2.6</v>
      </c>
      <c r="M42" s="8" t="n">
        <v>0</v>
      </c>
      <c r="N42" s="8" t="n">
        <v>2.6</v>
      </c>
      <c r="O42" s="8" t="inlineStr">
        <is>
          <t>—</t>
        </is>
      </c>
      <c r="P42" s="8" t="n"/>
    </row>
    <row r="43">
      <c r="A43" s="6" t="inlineStr">
        <is>
          <t>South Africa</t>
        </is>
      </c>
      <c r="B43" s="6" t="inlineStr">
        <is>
          <t>Southern Africa</t>
        </is>
      </c>
      <c r="C43" s="6" t="n">
        <v>83.3</v>
      </c>
      <c r="D43" s="6" t="n">
        <v>78.7</v>
      </c>
      <c r="E43" s="6" t="n">
        <v>87.90000000000001</v>
      </c>
      <c r="F43" s="6" t="inlineStr">
        <is>
          <t>Phase 4</t>
        </is>
      </c>
      <c r="G43" s="6" t="inlineStr">
        <is>
          <t>Balanced</t>
        </is>
      </c>
      <c r="H43" s="6" t="n">
        <v>9.199999999999999</v>
      </c>
      <c r="I43" s="6" t="n">
        <v>83.3</v>
      </c>
      <c r="J43" s="6" t="n">
        <v>0</v>
      </c>
      <c r="K43" s="6" t="inlineStr"/>
      <c r="L43" s="6" t="n">
        <v>2.4</v>
      </c>
      <c r="M43" s="6" t="n">
        <v>0</v>
      </c>
      <c r="N43" s="6" t="n">
        <v>2.4</v>
      </c>
      <c r="O43" s="6" t="inlineStr">
        <is>
          <t>—</t>
        </is>
      </c>
      <c r="P43" s="6" t="n"/>
    </row>
    <row r="44">
      <c r="A44" s="8" t="inlineStr">
        <is>
          <t>Ethiopia</t>
        </is>
      </c>
      <c r="B44" s="8" t="inlineStr">
        <is>
          <t>East Africa</t>
        </is>
      </c>
      <c r="C44" s="8" t="n">
        <v>56.1</v>
      </c>
      <c r="D44" s="8" t="n">
        <v>54.3</v>
      </c>
      <c r="E44" s="8" t="n">
        <v>58</v>
      </c>
      <c r="F44" s="8" t="inlineStr">
        <is>
          <t>Phase 2</t>
        </is>
      </c>
      <c r="G44" s="8" t="inlineStr">
        <is>
          <t>Balanced</t>
        </is>
      </c>
      <c r="H44" s="8" t="n">
        <v>3.7</v>
      </c>
      <c r="I44" s="8" t="n">
        <v>56.2</v>
      </c>
      <c r="J44" s="8" t="n">
        <v>0</v>
      </c>
      <c r="K44" s="8" t="inlineStr"/>
      <c r="L44" s="8" t="n">
        <v>2.1</v>
      </c>
      <c r="M44" s="8" t="n">
        <v>0</v>
      </c>
      <c r="N44" s="8" t="n">
        <v>2.1</v>
      </c>
      <c r="O44" s="8" t="inlineStr">
        <is>
          <t>—</t>
        </is>
      </c>
      <c r="P44" s="8" t="n"/>
    </row>
    <row r="45">
      <c r="A45" s="6" t="inlineStr">
        <is>
          <t>Egypt</t>
        </is>
      </c>
      <c r="B45" s="6" t="inlineStr">
        <is>
          <t>North Africa</t>
        </is>
      </c>
      <c r="C45" s="6" t="n">
        <v>60.8</v>
      </c>
      <c r="D45" s="6" t="n">
        <v>65.8</v>
      </c>
      <c r="E45" s="6" t="n">
        <v>55.8</v>
      </c>
      <c r="F45" s="6" t="inlineStr">
        <is>
          <t>Phase 2</t>
        </is>
      </c>
      <c r="G45" s="6" t="inlineStr">
        <is>
          <t>Watch</t>
        </is>
      </c>
      <c r="H45" s="6" t="n">
        <v>10</v>
      </c>
      <c r="I45" s="6" t="n">
        <v>60.8</v>
      </c>
      <c r="J45" s="6" t="n">
        <v>0</v>
      </c>
      <c r="K45" s="6" t="inlineStr"/>
      <c r="L45" s="6" t="n">
        <v>2</v>
      </c>
      <c r="M45" s="6" t="n">
        <v>0</v>
      </c>
      <c r="N45" s="6" t="n">
        <v>2</v>
      </c>
      <c r="O45" s="6" t="inlineStr">
        <is>
          <t>—</t>
        </is>
      </c>
      <c r="P45" s="6" t="n"/>
    </row>
    <row r="46">
      <c r="A46" s="8" t="inlineStr">
        <is>
          <t>Kenya</t>
        </is>
      </c>
      <c r="B46" s="8" t="inlineStr">
        <is>
          <t>East Africa</t>
        </is>
      </c>
      <c r="C46" s="8" t="n">
        <v>69.40000000000001</v>
      </c>
      <c r="D46" s="8" t="n">
        <v>66.59999999999999</v>
      </c>
      <c r="E46" s="8" t="n">
        <v>72.3</v>
      </c>
      <c r="F46" s="8" t="inlineStr">
        <is>
          <t>Phase 3C</t>
        </is>
      </c>
      <c r="G46" s="8" t="inlineStr">
        <is>
          <t>Balanced</t>
        </is>
      </c>
      <c r="H46" s="8" t="n">
        <v>5.7</v>
      </c>
      <c r="I46" s="8" t="n">
        <v>69.40000000000001</v>
      </c>
      <c r="J46" s="8" t="n">
        <v>0</v>
      </c>
      <c r="K46" s="8" t="inlineStr"/>
      <c r="L46" s="8" t="n">
        <v>1.9</v>
      </c>
      <c r="M46" s="8" t="n">
        <v>0</v>
      </c>
      <c r="N46" s="8" t="n">
        <v>1.9</v>
      </c>
      <c r="O46" s="8" t="inlineStr">
        <is>
          <t>—</t>
        </is>
      </c>
      <c r="P46" s="8" t="n"/>
    </row>
    <row r="47">
      <c r="A47" s="6" t="inlineStr">
        <is>
          <t>Tanzania</t>
        </is>
      </c>
      <c r="B47" s="6" t="inlineStr">
        <is>
          <t>East Africa</t>
        </is>
      </c>
      <c r="C47" s="6" t="n">
        <v>62.3</v>
      </c>
      <c r="D47" s="6" t="n">
        <v>57.8</v>
      </c>
      <c r="E47" s="6" t="n">
        <v>66.8</v>
      </c>
      <c r="F47" s="6" t="inlineStr">
        <is>
          <t>Phase 3C</t>
        </is>
      </c>
      <c r="G47" s="6" t="inlineStr">
        <is>
          <t>Balanced</t>
        </is>
      </c>
      <c r="H47" s="6" t="n">
        <v>9</v>
      </c>
      <c r="I47" s="6" t="n">
        <v>62.3</v>
      </c>
      <c r="J47" s="6" t="n">
        <v>0</v>
      </c>
      <c r="K47" s="6" t="inlineStr"/>
      <c r="L47" s="6" t="n">
        <v>1.8</v>
      </c>
      <c r="M47" s="6" t="n">
        <v>0</v>
      </c>
      <c r="N47" s="6" t="n">
        <v>1.8</v>
      </c>
      <c r="O47" s="6" t="inlineStr">
        <is>
          <t>—</t>
        </is>
      </c>
      <c r="P47" s="6" t="n"/>
    </row>
    <row r="48">
      <c r="A48" s="8" t="inlineStr">
        <is>
          <t>Tunisia</t>
        </is>
      </c>
      <c r="B48" s="8" t="inlineStr">
        <is>
          <t>North Africa</t>
        </is>
      </c>
      <c r="C48" s="8" t="n">
        <v>61</v>
      </c>
      <c r="D48" s="8" t="n">
        <v>62.9</v>
      </c>
      <c r="E48" s="8" t="n">
        <v>59.2</v>
      </c>
      <c r="F48" s="8" t="inlineStr">
        <is>
          <t>Phase 3C</t>
        </is>
      </c>
      <c r="G48" s="8" t="inlineStr">
        <is>
          <t>Balanced</t>
        </is>
      </c>
      <c r="H48" s="8" t="n">
        <v>3.7</v>
      </c>
      <c r="I48" s="8" t="n">
        <v>61</v>
      </c>
      <c r="J48" s="8" t="n">
        <v>0</v>
      </c>
      <c r="K48" s="8" t="inlineStr"/>
      <c r="L48" s="8" t="n">
        <v>1.6</v>
      </c>
      <c r="M48" s="8" t="n">
        <v>0</v>
      </c>
      <c r="N48" s="8" t="n">
        <v>1.6</v>
      </c>
      <c r="O48" s="8" t="inlineStr">
        <is>
          <t>—</t>
        </is>
      </c>
      <c r="P48" s="8" t="n"/>
    </row>
    <row r="49">
      <c r="A49" s="6" t="inlineStr">
        <is>
          <t>Seychelles</t>
        </is>
      </c>
      <c r="B49" s="6" t="inlineStr">
        <is>
          <t>East Africa</t>
        </is>
      </c>
      <c r="C49" s="6" t="n">
        <v>63.6</v>
      </c>
      <c r="D49" s="6" t="n">
        <v>63.5</v>
      </c>
      <c r="E49" s="6" t="n">
        <v>63.8</v>
      </c>
      <c r="F49" s="6" t="inlineStr">
        <is>
          <t>Phase 3C</t>
        </is>
      </c>
      <c r="G49" s="6" t="inlineStr">
        <is>
          <t>Balanced</t>
        </is>
      </c>
      <c r="H49" s="6" t="n">
        <v>0.3</v>
      </c>
      <c r="I49" s="6" t="n">
        <v>63.6</v>
      </c>
      <c r="J49" s="6" t="n">
        <v>0</v>
      </c>
      <c r="K49" s="6" t="inlineStr"/>
      <c r="L49" s="6" t="n">
        <v>1.5</v>
      </c>
      <c r="M49" s="6" t="n">
        <v>0</v>
      </c>
      <c r="N49" s="6" t="n">
        <v>1.5</v>
      </c>
      <c r="O49" s="6" t="inlineStr">
        <is>
          <t>—</t>
        </is>
      </c>
      <c r="P49" s="6" t="n"/>
    </row>
    <row r="50">
      <c r="A50" s="8" t="inlineStr">
        <is>
          <t>Cape Verde</t>
        </is>
      </c>
      <c r="B50" s="8" t="inlineStr">
        <is>
          <t>West Africa</t>
        </is>
      </c>
      <c r="C50" s="8" t="n">
        <v>54.6</v>
      </c>
      <c r="D50" s="8" t="n">
        <v>51.8</v>
      </c>
      <c r="E50" s="8" t="n">
        <v>57.4</v>
      </c>
      <c r="F50" s="8" t="inlineStr">
        <is>
          <t>Phase 2</t>
        </is>
      </c>
      <c r="G50" s="8" t="inlineStr">
        <is>
          <t>Balanced</t>
        </is>
      </c>
      <c r="H50" s="8" t="n">
        <v>5.6</v>
      </c>
      <c r="I50" s="8" t="n">
        <v>54.6</v>
      </c>
      <c r="J50" s="8" t="n">
        <v>0</v>
      </c>
      <c r="K50" s="8" t="inlineStr"/>
      <c r="L50" s="8" t="n">
        <v>1.3</v>
      </c>
      <c r="M50" s="8" t="n">
        <v>0</v>
      </c>
      <c r="N50" s="8" t="n">
        <v>1.3</v>
      </c>
      <c r="O50" s="8" t="inlineStr">
        <is>
          <t>—</t>
        </is>
      </c>
      <c r="P50" s="8" t="n"/>
    </row>
    <row r="51">
      <c r="A51" s="6" t="inlineStr">
        <is>
          <t>Angola</t>
        </is>
      </c>
      <c r="B51" s="6" t="inlineStr">
        <is>
          <t>Southern Africa</t>
        </is>
      </c>
      <c r="C51" s="6" t="n">
        <v>47.8</v>
      </c>
      <c r="D51" s="6" t="n">
        <v>49.9</v>
      </c>
      <c r="E51" s="6" t="n">
        <v>45.6</v>
      </c>
      <c r="F51" s="6" t="inlineStr">
        <is>
          <t>Phase 2</t>
        </is>
      </c>
      <c r="G51" s="6" t="inlineStr">
        <is>
          <t>Balanced</t>
        </is>
      </c>
      <c r="H51" s="6" t="n">
        <v>4.3</v>
      </c>
      <c r="I51" s="6" t="n">
        <v>47.8</v>
      </c>
      <c r="J51" s="6" t="n">
        <v>0</v>
      </c>
      <c r="K51" s="6" t="inlineStr"/>
      <c r="L51" s="6" t="n">
        <v>1.2</v>
      </c>
      <c r="M51" s="6" t="n">
        <v>0</v>
      </c>
      <c r="N51" s="6" t="n">
        <v>1.2</v>
      </c>
      <c r="O51" s="6" t="inlineStr">
        <is>
          <t>—</t>
        </is>
      </c>
      <c r="P51" s="6" t="n"/>
    </row>
    <row r="52">
      <c r="A52" s="8" t="inlineStr">
        <is>
          <t>Uganda</t>
        </is>
      </c>
      <c r="B52" s="8" t="inlineStr">
        <is>
          <t>East Africa</t>
        </is>
      </c>
      <c r="C52" s="8" t="n">
        <v>51.6</v>
      </c>
      <c r="D52" s="8" t="n">
        <v>49.4</v>
      </c>
      <c r="E52" s="8" t="n">
        <v>53.8</v>
      </c>
      <c r="F52" s="8" t="inlineStr">
        <is>
          <t>Phase 2</t>
        </is>
      </c>
      <c r="G52" s="8" t="inlineStr">
        <is>
          <t>Balanced</t>
        </is>
      </c>
      <c r="H52" s="8" t="n">
        <v>4.4</v>
      </c>
      <c r="I52" s="8" t="n">
        <v>51.6</v>
      </c>
      <c r="J52" s="8" t="n">
        <v>0</v>
      </c>
      <c r="K52" s="8" t="inlineStr"/>
      <c r="L52" s="8" t="n">
        <v>1.1</v>
      </c>
      <c r="M52" s="8" t="n">
        <v>0</v>
      </c>
      <c r="N52" s="8" t="n">
        <v>1.1</v>
      </c>
      <c r="O52" s="8" t="inlineStr">
        <is>
          <t>—</t>
        </is>
      </c>
      <c r="P52" s="8" t="n"/>
    </row>
    <row r="53">
      <c r="A53" s="6" t="inlineStr">
        <is>
          <t>Zambia</t>
        </is>
      </c>
      <c r="B53" s="6" t="inlineStr">
        <is>
          <t>Southern Africa</t>
        </is>
      </c>
      <c r="C53" s="6" t="n">
        <v>48</v>
      </c>
      <c r="D53" s="6" t="n">
        <v>46.2</v>
      </c>
      <c r="E53" s="6" t="n">
        <v>49.9</v>
      </c>
      <c r="F53" s="6" t="inlineStr">
        <is>
          <t>Phase 2</t>
        </is>
      </c>
      <c r="G53" s="6" t="inlineStr">
        <is>
          <t>Balanced</t>
        </is>
      </c>
      <c r="H53" s="6" t="n">
        <v>3.7</v>
      </c>
      <c r="I53" s="6" t="n">
        <v>48.1</v>
      </c>
      <c r="J53" s="6" t="n">
        <v>0</v>
      </c>
      <c r="K53" s="6" t="inlineStr"/>
      <c r="L53" s="6" t="n">
        <v>1</v>
      </c>
      <c r="M53" s="6" t="n">
        <v>0</v>
      </c>
      <c r="N53" s="6" t="n">
        <v>1</v>
      </c>
      <c r="O53" s="6" t="inlineStr">
        <is>
          <t>—</t>
        </is>
      </c>
      <c r="P53" s="6" t="n"/>
    </row>
    <row r="54">
      <c r="A54" s="8" t="inlineStr">
        <is>
          <t>Mauritius</t>
        </is>
      </c>
      <c r="B54" s="8" t="inlineStr">
        <is>
          <t>East Africa</t>
        </is>
      </c>
      <c r="C54" s="8" t="n">
        <v>85.5</v>
      </c>
      <c r="D54" s="8" t="n">
        <v>82.90000000000001</v>
      </c>
      <c r="E54" s="8" t="n">
        <v>88</v>
      </c>
      <c r="F54" s="8" t="inlineStr">
        <is>
          <t>Phase 4</t>
        </is>
      </c>
      <c r="G54" s="8" t="inlineStr">
        <is>
          <t>Balanced</t>
        </is>
      </c>
      <c r="H54" s="8" t="n">
        <v>5.1</v>
      </c>
      <c r="I54" s="8" t="n">
        <v>85.40000000000001</v>
      </c>
      <c r="J54" s="8" t="n">
        <v>0</v>
      </c>
      <c r="K54" s="8" t="inlineStr"/>
      <c r="L54" s="8" t="n">
        <v>1</v>
      </c>
      <c r="M54" s="8" t="n">
        <v>0</v>
      </c>
      <c r="N54" s="8" t="n">
        <v>1</v>
      </c>
      <c r="O54" s="8" t="inlineStr">
        <is>
          <t>—</t>
        </is>
      </c>
      <c r="P54" s="8" t="n"/>
    </row>
    <row r="55">
      <c r="A55" s="6" t="inlineStr">
        <is>
          <t>Namibia</t>
        </is>
      </c>
      <c r="B55" s="6" t="inlineStr">
        <is>
          <t>Southern Africa</t>
        </is>
      </c>
      <c r="C55" s="6" t="n">
        <v>62.2</v>
      </c>
      <c r="D55" s="6" t="n">
        <v>60.7</v>
      </c>
      <c r="E55" s="6" t="n">
        <v>63.8</v>
      </c>
      <c r="F55" s="6" t="inlineStr">
        <is>
          <t>Phase 3C</t>
        </is>
      </c>
      <c r="G55" s="6" t="inlineStr">
        <is>
          <t>Balanced</t>
        </is>
      </c>
      <c r="H55" s="6" t="n">
        <v>3.1</v>
      </c>
      <c r="I55" s="6" t="n">
        <v>62.2</v>
      </c>
      <c r="J55" s="6" t="n">
        <v>0</v>
      </c>
      <c r="K55" s="6" t="inlineStr"/>
      <c r="L55" s="6" t="n">
        <v>0.6</v>
      </c>
      <c r="M55" s="6" t="n">
        <v>0</v>
      </c>
      <c r="N55" s="6" t="n">
        <v>0.6</v>
      </c>
      <c r="O55" s="6" t="inlineStr">
        <is>
          <t>—</t>
        </is>
      </c>
      <c r="P55" s="6" t="n"/>
    </row>
  </sheetData>
  <mergeCells count="1">
    <mergeCell ref="A1: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5"/>
  <sheetViews>
    <sheetView workbookViewId="0">
      <selection activeCell="A1" sqref="A1"/>
    </sheetView>
  </sheetViews>
  <sheetFormatPr baseColWidth="8" defaultRowHeight="15"/>
  <cols>
    <col width="3" customWidth="1" min="1" max="1"/>
    <col width="100" customWidth="1" min="2" max="2"/>
  </cols>
  <sheetData>
    <row r="1">
      <c r="B1" s="19" t="inlineStr">
        <is>
          <t>APPENDIX A: INDEX CONSTRUCTION AND SCORING METHODOLOGY</t>
        </is>
      </c>
    </row>
    <row r="2">
      <c r="B2" s="20" t="inlineStr">
        <is>
          <t>Heritage Builders | African Autonomy Index 2026 | First Iteration | v5 (May 2026 — Axis Codification + SADR + Niger Correction)</t>
        </is>
      </c>
    </row>
    <row r="3">
      <c r="B3" s="20" t="inlineStr"/>
    </row>
    <row r="4">
      <c r="B4" s="19" t="inlineStr">
        <is>
          <t>A.1 COMPOSITE STRUCTURE</t>
        </is>
      </c>
    </row>
    <row r="5">
      <c r="B5" s="20" t="inlineStr">
        <is>
          <t>The African Autonomy Index (AAI) is a 200-point composite index measuring 55 AU member states' progress
toward Pan-African self-reliance and continental unity. Scores are reported on both the raw 200-point scale
and a normalized 100-point scale for phase classification and public communication.</t>
        </is>
      </c>
    </row>
    <row r="6">
      <c r="B6" s="20" t="inlineStr"/>
    </row>
    <row r="7">
      <c r="B7" s="19" t="inlineStr">
        <is>
          <t>SCORING FORMULA</t>
        </is>
      </c>
    </row>
    <row r="8">
      <c r="B8" s="20" t="inlineStr">
        <is>
          <t xml:space="preserve">  Economic Sovereignty Score (out of 100):</t>
        </is>
      </c>
    </row>
    <row r="9">
      <c r="B9" s="20" t="inlineStr">
        <is>
          <t xml:space="preserve">    Pillar 1.1 — Monetary &amp; Fiscal Autonomy:  weight 30%  (Monetary Sovereignty + Fiscal Sustainability)</t>
        </is>
      </c>
    </row>
    <row r="10">
      <c r="B10" s="20" t="inlineStr">
        <is>
          <t xml:space="preserve">    Pillar 1.2 — Productive Capacity:         weight 35%  (Manufacturing + Resource Processing + Technology)</t>
        </is>
      </c>
    </row>
    <row r="11">
      <c r="B11" s="20" t="inlineStr">
        <is>
          <t xml:space="preserve">    Pillar 1.3 — Trade Autonomy:              weight 35%  (Export Diversification + Intra-African Trade + Strategic Reserves)</t>
        </is>
      </c>
    </row>
    <row r="12">
      <c r="B12" s="20" t="inlineStr">
        <is>
          <t xml:space="preserve">  Political Integration Score (out of 100):</t>
        </is>
      </c>
    </row>
    <row r="13">
      <c r="B13" s="20" t="inlineStr">
        <is>
          <t xml:space="preserve">    Pillar 2.1 — Continental Engagement:  weight 40%  (AU Participation + AfCFTA + Peacekeeping)</t>
        </is>
      </c>
    </row>
    <row r="14">
      <c r="B14" s="20" t="inlineStr">
        <is>
          <t xml:space="preserve">    Pillar 2.2 — Regional Cooperation:    weight 30%  (REC Integration + Diplomatic Coordination)</t>
        </is>
      </c>
    </row>
    <row r="15">
      <c r="B15" s="20" t="inlineStr">
        <is>
          <t xml:space="preserve">    Pillar 2.3 — Governance Capacity:     weight 30%  (Institutional Functionality + Service Delivery + Popular Legitimacy)</t>
        </is>
      </c>
    </row>
    <row r="16">
      <c r="B16" s="20" t="inlineStr">
        <is>
          <t xml:space="preserve">  Composite (100-pt scale) = (Economic Score + Political Score) / 2</t>
        </is>
      </c>
    </row>
    <row r="17">
      <c r="B17" s="20" t="inlineStr">
        <is>
          <t xml:space="preserve">  Raw 200-pt total         = Economic Score + Political Score</t>
        </is>
      </c>
    </row>
    <row r="18">
      <c r="B18" s="20" t="inlineStr"/>
    </row>
    <row r="19">
      <c r="B19" s="28" t="inlineStr">
        <is>
          <t>A.1.1 AXIS CODIFICATION (v5 CANONICAL)</t>
        </is>
      </c>
    </row>
    <row r="20">
      <c r="B20" s="24" t="inlineStr">
        <is>
          <t>As of May 2026 (Visual Style Guide revision), all AAI scatter plots use X = Economic Sovereignty (ECON) and Y = Political Integration (POL). This axis standard supersedes any prior documentation showing the axes in reverse. The Chapter 4 Autonomy Landscape chart (Version 52, approved May 2026) reflects this standard and serves as the canonical visual reference.</t>
        </is>
      </c>
    </row>
    <row r="21">
      <c r="B21" s="20" t="inlineStr">
        <is>
          <t>A.2 PHASE CLASSIFICATION SYSTEM (canonical — Ch.5)</t>
        </is>
      </c>
    </row>
    <row r="22">
      <c r="B22" s="20" t="inlineStr">
        <is>
          <t xml:space="preserve">  PHASE 4: CONTINENTAL LEADERSHIP      81 – 100 pts   High Capacity + High Integration</t>
        </is>
      </c>
    </row>
    <row r="23">
      <c r="B23" s="20" t="inlineStr">
        <is>
          <t xml:space="preserve">  PHASE 3: SOVEREIGNTY CONSOLIDATING   61 – 80  pts</t>
        </is>
      </c>
    </row>
    <row r="24">
      <c r="B24" s="20" t="inlineStr">
        <is>
          <t xml:space="preserve">    Phase 3A: Economic Leader           Econ ≥68, Pol &lt;65, gap ≥10 pts</t>
        </is>
      </c>
    </row>
    <row r="25">
      <c r="B25" s="20" t="inlineStr">
        <is>
          <t xml:space="preserve">    Phase 3B: Political Leader          Pol ≥68, Econ &lt;65, gap ≥10 pts</t>
        </is>
      </c>
    </row>
    <row r="26">
      <c r="B26" s="20" t="inlineStr">
        <is>
          <t xml:space="preserve">    Phase 3C: Balanced Consolidating    Gap &lt;10 pts between Econ and Pol</t>
        </is>
      </c>
    </row>
    <row r="27">
      <c r="B27" s="20" t="inlineStr">
        <is>
          <t xml:space="preserve">  PHASE 2: INTEGRATION ESTABLISHING    36 – 60  pts   Breaking structural dependencies</t>
        </is>
      </c>
    </row>
    <row r="28">
      <c r="B28" s="20" t="inlineStr">
        <is>
          <t xml:space="preserve">  PHASE 1: FOUNDATION BUILDING          0 – 35  pts   Severe structural fragility</t>
        </is>
      </c>
    </row>
    <row r="29">
      <c r="B29" s="20" t="inlineStr">
        <is>
          <t xml:space="preserve">  BOUNDARY RULE (CI-019 RESOLVED): Composite ≤60 = Phase 2; ≥61 = Phase 3.</t>
        </is>
      </c>
    </row>
    <row r="30">
      <c r="B30" s="20" t="inlineStr">
        <is>
          <t xml:space="preserve">  Example: Senegal composite 59.4 = Phase 2 (NOT Phase 3).</t>
        </is>
      </c>
    </row>
    <row r="31">
      <c r="B31" s="20" t="inlineStr">
        <is>
          <t xml:space="preserve">  QUADRANT MIDPOINT = 60 (not 50) — used for Phase 3A/3B/3C sub-classification on both axes.</t>
        </is>
      </c>
    </row>
    <row r="32">
      <c r="B32" s="20" t="inlineStr"/>
    </row>
    <row r="33">
      <c r="B33" s="20" t="inlineStr">
        <is>
          <t>A.3 DIMENSION GAP LABELS (canonical — Ch.5) [CI-023]</t>
        </is>
      </c>
    </row>
    <row r="34">
      <c r="B34" s="20" t="inlineStr">
        <is>
          <t xml:space="preserve">  Balanced: gap &lt;10 pts between Economic and Political scores</t>
        </is>
      </c>
    </row>
    <row r="35">
      <c r="B35" s="20" t="inlineStr">
        <is>
          <t xml:space="preserve">  Watch:    gap 10–20 pts — one dimension lagging; Ch.6 "15-pt balanced" rule is SUPERSEDED by this</t>
        </is>
      </c>
    </row>
    <row r="36">
      <c r="B36" s="20" t="inlineStr">
        <is>
          <t xml:space="preserve">  At-Risk:  gap &gt;20 pts — extreme imbalance; 2.5× higher crisis risk within 5 years (Ch.10 §10.2.4)</t>
        </is>
      </c>
    </row>
    <row r="37">
      <c r="B37" s="20" t="inlineStr"/>
    </row>
    <row r="38">
      <c r="B38" s="28" t="inlineStr">
        <is>
          <t>A.3.1 MEMBER STATE COVERAGE — SADR/WESTERN SAHARA (v5)</t>
        </is>
      </c>
    </row>
    <row r="39">
      <c r="B39" s="24" t="inlineStr">
        <is>
          <t>The AAI v5 covers 55 AU member states per the African Union's canonical membership. SADR/Western Sahara (ISO3: ESH) is included as the 55th member state with Flag 3/Provisional status (0.85 penalty multiplier). Scores for SADR are pending comprehensive data access and are recorded as provisional in the Baseline Scores sheet (row 56). This inclusion reflects the AAI's mandate to track AU continental engagement across all recognized member states, irrespective of disputed-sovereignty status. SADR is tracked under North Africa region.</t>
        </is>
      </c>
    </row>
    <row r="41">
      <c r="B41" s="20" t="inlineStr">
        <is>
          <t>A.4 SUSTAINABLE AUTONOMY SCORE (SAS) — Ch.2/Ch.5 formula</t>
        </is>
      </c>
    </row>
    <row r="42">
      <c r="B42" s="20" t="inlineStr">
        <is>
          <t xml:space="preserve">  SAS = min(Economic, Political) + |Economic − Political| / 2</t>
        </is>
      </c>
    </row>
    <row r="43">
      <c r="B43" s="20" t="inlineStr">
        <is>
          <t xml:space="preserve">  Example: Econ=80, Pol=40 → SAS = 40 + 20 = 60 (not 60 composite average).</t>
        </is>
      </c>
    </row>
    <row r="44">
      <c r="B44" s="20" t="inlineStr">
        <is>
          <t xml:space="preserve">  SAS rewards balanced development; extreme imbalance reduces effective autonomy.</t>
        </is>
      </c>
    </row>
    <row r="45">
      <c r="B45" s="20" t="inlineStr"/>
    </row>
    <row r="46">
      <c r="B46" s="20" t="inlineStr">
        <is>
          <t>A.5 MISSING DATA FLAGS AND PENALTIES (canonical — Ch.7 v2) [CI-033 RESOLVED]</t>
        </is>
      </c>
    </row>
    <row r="47">
      <c r="B47" s="20" t="inlineStr">
        <is>
          <t xml:space="preserve">  Flag 0: Complete data — no imputation, no penalty. Multiplier: ×1.00</t>
        </is>
      </c>
    </row>
    <row r="48">
      <c r="B48" s="20" t="inlineStr">
        <is>
          <t xml:space="preserve">  Flag 1: Partial gap — 2 pillars imputed from regional mean. Penalty: ×0.97 (3% reduction).</t>
        </is>
      </c>
    </row>
    <row r="49">
      <c r="B49" s="20" t="inlineStr">
        <is>
          <t xml:space="preserve">  Flag 2: Significant gap — 4 pillars imputed. Penalty: ×0.92 (8% reduction).</t>
        </is>
      </c>
    </row>
    <row r="50">
      <c r="B50" s="20" t="inlineStr">
        <is>
          <t xml:space="preserve">  Flag 3: Severe gap — 6 pillars imputed (all pillars). Penalty: ×0.85 (15% reduction). [NEW in v3]</t>
        </is>
      </c>
    </row>
    <row r="51">
      <c r="B51" s="20" t="inlineStr">
        <is>
          <t xml:space="preserve">  Flag 3 triggers: AU withdrawal, sustained conflict, near-total statistical office collapse.</t>
        </is>
      </c>
    </row>
    <row r="52">
      <c r="B52" s="20" t="inlineStr">
        <is>
          <t xml:space="preserve">  Eritrea: Flag 3 applied. Continental Engagement score = 0 (AU withdrawal) + Flag 3 composite penalty.</t>
        </is>
      </c>
    </row>
    <row r="53">
      <c r="B53" s="20" t="inlineStr">
        <is>
          <t xml:space="preserve">  Countries with Impute Swing &gt;15 pts are labeled "Provisional" — treat scores with caution.</t>
        </is>
      </c>
    </row>
    <row r="54">
      <c r="B54" s="20" t="inlineStr"/>
    </row>
    <row r="55">
      <c r="B55" s="20" t="inlineStr">
        <is>
          <t>A.6 POVERTY LINE — canonical</t>
        </is>
      </c>
    </row>
    <row r="56">
      <c r="B56" s="20" t="inlineStr">
        <is>
          <t xml:space="preserve">  Poverty line = $2.15/day (2017 PPP) — World Bank updated threshold.</t>
        </is>
      </c>
    </row>
    <row r="57">
      <c r="B57" s="20" t="inlineStr">
        <is>
          <t xml:space="preserve">  Service Delivery sub-indicator uses poverty headcount at this threshold.</t>
        </is>
      </c>
    </row>
    <row r="58">
      <c r="B58" s="20" t="inlineStr">
        <is>
          <t xml:space="preserve">  Trend (direction of change) is weighted, not level — a country improving from 70% to 60%</t>
        </is>
      </c>
    </row>
    <row r="59">
      <c r="B59" s="20" t="inlineStr">
        <is>
          <t xml:space="preserve">  poverty headcount receives a positive score even if headcount remains high.</t>
        </is>
      </c>
    </row>
    <row r="60">
      <c r="B60" s="20" t="inlineStr">
        <is>
          <t xml:space="preserve">  NOTE: Countries with poverty survey older than 7 years receive N/A (not 0) on this sub-indicator.</t>
        </is>
      </c>
    </row>
    <row r="61">
      <c r="B61" s="20" t="inlineStr"/>
    </row>
    <row r="62">
      <c r="B62" s="19" t="inlineStr">
        <is>
          <t>A.7 SPECIAL DISCLOSURE FLAGS</t>
        </is>
      </c>
    </row>
    <row r="63">
      <c r="B63" s="20" t="inlineStr">
        <is>
          <t xml:space="preserve">  [AU SUSPENSION]: Mali, Burkina Faso, Niger — coups resulted in AU suspension.</t>
        </is>
      </c>
    </row>
    <row r="64">
      <c r="B64" s="20" t="inlineStr">
        <is>
          <t xml:space="preserve">  Political scores are pre-suspension baselines. Transparency note: [AU SUSPENSION] and</t>
        </is>
      </c>
    </row>
    <row r="65">
      <c r="B65" s="20" t="inlineStr">
        <is>
          <t xml:space="preserve">  [GOVERNANCE TRANSITION] flags added per Ch.7 coup-scoring protocol.</t>
        </is>
      </c>
    </row>
    <row r="66">
      <c r="B66" s="20" t="inlineStr">
        <is>
          <t xml:space="preserve">  Small-country rolling average: Seychelles, Djibouti, Comoros, Eswatini, Equatorial Guinea,</t>
        </is>
      </c>
    </row>
    <row r="67">
      <c r="B67" s="20" t="inlineStr">
        <is>
          <t xml:space="preserve">  Mauritius — 3-year rolling average applied to reduce single-year volatility (Ch.7 v2 §7.5.1).</t>
        </is>
      </c>
    </row>
    <row r="68">
      <c r="B68" s="20" t="inlineStr"/>
    </row>
    <row r="69">
      <c r="B69" s="19" t="inlineStr">
        <is>
          <t>A.8 SPECIFIC COUNTRY DISCLOSURES</t>
        </is>
      </c>
    </row>
    <row r="70">
      <c r="B70" s="20" t="inlineStr">
        <is>
          <t xml:space="preserve">  Botswana (CI-025): Strategic Reserves indicator capped at 10/10. Raw FX reserves = 18 months</t>
        </is>
      </c>
    </row>
    <row r="71">
      <c r="B71" s="20" t="inlineStr">
        <is>
          <t xml:space="preserve">  import cover, which exceeds the 6-month threshold maximum. Score = 10/10 (not 18/10).</t>
        </is>
      </c>
    </row>
    <row r="72">
      <c r="B72" s="20" t="inlineStr">
        <is>
          <t xml:space="preserve">  Egypt (CI-026): "81" cited in earlier drafts refers to Egypt's Economic Sovereignty score</t>
        </is>
      </c>
    </row>
    <row r="73">
      <c r="B73" s="20" t="inlineStr">
        <is>
          <t xml:space="preserve">  circa 2018–2019, NOT its composite. Current composite = 60.8 (Phase 2).</t>
        </is>
      </c>
    </row>
    <row r="74">
      <c r="B74" s="20" t="inlineStr">
        <is>
          <t xml:space="preserve">  Rwanda (CI-038 VERIFIED): Econ 57.0, Pol 76.9 confirmed as canonical split. Phase 3B.</t>
        </is>
      </c>
    </row>
    <row r="75">
      <c r="B75" s="20" t="inlineStr">
        <is>
          <t xml:space="preserve">  Ghana/Zambia (CI-035/037): Workbook baseline = canonical. Trajectory figures in Ch.9/10</t>
        </is>
      </c>
    </row>
    <row r="76">
      <c r="B76" s="20" t="inlineStr">
        <is>
          <t xml:space="preserve">  text ("65→55 in 2 years", "52→38") are ILLUSTRATIVE and require Workbook verification</t>
        </is>
      </c>
    </row>
    <row r="77">
      <c r="B77" s="20" t="inlineStr">
        <is>
          <t xml:space="preserve">  before university submission.</t>
        </is>
      </c>
    </row>
    <row r="78">
      <c r="B78" s="20" t="inlineStr"/>
    </row>
    <row r="79">
      <c r="B79" s="19" t="inlineStr">
        <is>
          <t>APPENDIX B: SENSITIVITY AND ROBUSTNESS ANALYSIS</t>
        </is>
      </c>
    </row>
    <row r="80">
      <c r="B80" s="19" t="inlineStr">
        <is>
          <t>B.1 WEIGHT STRESS-TESTS</t>
        </is>
      </c>
    </row>
    <row r="81">
      <c r="B81" s="20" t="inlineStr">
        <is>
          <t xml:space="preserve">  Nine weighting scenarios tested. Swing range = max − min score across all 9 scenarios.</t>
        </is>
      </c>
    </row>
    <row r="82">
      <c r="B82" s="20" t="inlineStr">
        <is>
          <t xml:space="preserve">  Robustly ranked (swing &lt;5 pts): classification is stable regardless of weight choice.</t>
        </is>
      </c>
    </row>
    <row r="83">
      <c r="B83" s="20" t="inlineStr">
        <is>
          <t xml:space="preserve">  Review required (swing &gt;10 pts): supplementary interpretation needed.</t>
        </is>
      </c>
    </row>
    <row r="84">
      <c r="B84" s="20" t="inlineStr">
        <is>
          <t xml:space="preserve">  Phase stability: countries that change phase classification across scenarios are highest risk.</t>
        </is>
      </c>
    </row>
    <row r="85">
      <c r="B85" s="20" t="inlineStr"/>
    </row>
    <row r="86">
      <c r="B86" s="19" t="inlineStr">
        <is>
          <t>B.2 CUTOFF SENSITIVITY</t>
        </is>
      </c>
    </row>
    <row r="87">
      <c r="B87" s="20" t="inlineStr">
        <is>
          <t xml:space="preserve">  Phase boundaries tested at ±3 and ±5 point shifts. Countries within 4 pts of any boundary</t>
        </is>
      </c>
    </row>
    <row r="88">
      <c r="B88" s="20" t="inlineStr">
        <is>
          <t xml:space="preserve">  are flagged "At-Risk" and should carry confidence qualifications in public reporting.</t>
        </is>
      </c>
    </row>
    <row r="89">
      <c r="B89" s="20" t="inlineStr">
        <is>
          <t xml:space="preserve">  Example: "Country X scores 62.1 (Phase 3). A 3-pt downward shift would reclassify to Phase 2."</t>
        </is>
      </c>
    </row>
    <row r="90">
      <c r="B90" s="20" t="inlineStr"/>
    </row>
    <row r="91">
      <c r="B91" s="19" t="inlineStr">
        <is>
          <t>APPENDIX C: PRE-PUBLICATION VALIDATION CHECKLIST</t>
        </is>
      </c>
    </row>
    <row r="92">
      <c r="B92" s="21" t="inlineStr">
        <is>
          <t xml:space="preserve">  □ 1.  All 55 country raw sub-dimension scores entered and cross-referenced to source data</t>
        </is>
      </c>
    </row>
    <row r="93">
      <c r="B93" s="21" t="inlineStr">
        <is>
          <t xml:space="preserve">  □ 2.  Pillar weights sum to 1.0 within each dimension</t>
        </is>
      </c>
    </row>
    <row r="94">
      <c r="B94" s="21" t="inlineStr">
        <is>
          <t xml:space="preserve">  □ 3.  Composite formula verified: (E + P) / 2 = stated composite</t>
        </is>
      </c>
    </row>
    <row r="95">
      <c r="B95" s="21" t="inlineStr">
        <is>
          <t xml:space="preserve">  □ 4.  Phase thresholds correctly applied: 0–35 / 36–60 / 61–80 / 81–100</t>
        </is>
      </c>
    </row>
    <row r="96">
      <c r="B96" s="21" t="inlineStr">
        <is>
          <t xml:space="preserve">  □ 5.  Boundary rule applied: ≤60 = Phase 2; ≥61 = Phase 3</t>
        </is>
      </c>
    </row>
    <row r="97">
      <c r="B97" s="21" t="inlineStr">
        <is>
          <t xml:space="preserve">  □ 6.  Quadrant midpoint = 60 on both axes for 3A/3B/3C sub-classification</t>
        </is>
      </c>
    </row>
    <row r="98">
      <c r="B98" s="21" t="inlineStr">
        <is>
          <t xml:space="preserve">  □ 7.  Dimension Gap labels: Balanced/Watch/At-Risk (not Moderate/High/Extreme)</t>
        </is>
      </c>
    </row>
    <row r="99">
      <c r="B99" s="21" t="inlineStr">
        <is>
          <t xml:space="preserve">  □ 8.  Missing-data flags assigned; Flags 0–3 penalties applied correctly</t>
        </is>
      </c>
    </row>
    <row r="100">
      <c r="B100" s="21" t="inlineStr">
        <is>
          <t xml:space="preserve">  □ 9.  SAS computed for all countries; At-Risk (&gt;20-pt gap) countries individually reviewed</t>
        </is>
      </c>
    </row>
    <row r="101">
      <c r="B101" s="21" t="inlineStr">
        <is>
          <t xml:space="preserve">  □ 10. Nine weight scenarios recomputed; swing ranges updated</t>
        </is>
      </c>
    </row>
    <row r="102">
      <c r="B102" s="21" t="inlineStr">
        <is>
          <t xml:space="preserve">  □ 11. Five imputation methods applied; imputation swing ranges updated</t>
        </is>
      </c>
    </row>
    <row r="103">
      <c r="B103" s="21" t="inlineStr">
        <is>
          <t xml:space="preserve">  □ 12. At-risk country flags updated for boundary proximity</t>
        </is>
      </c>
    </row>
    <row r="104">
      <c r="B104" s="29" t="inlineStr">
        <is>
          <t xml:space="preserve">  □ 13. AU Suspension flags verified: Mali, Burkina Faso, Niger ([1-AES] notation). Niger canonical scores confirmed: Econ 35.0 / Pol 23.6 / Comp 28.4. SADR/Western Sahara (row 56) carries Flag 3/Provisional notation.</t>
        </is>
      </c>
    </row>
    <row r="105">
      <c r="B105" s="21" t="inlineStr">
        <is>
          <t xml:space="preserve">  □ 14. Small-country rolling averages verified: 6 countries</t>
        </is>
      </c>
    </row>
    <row r="106">
      <c r="B106" s="21" t="inlineStr">
        <is>
          <t xml:space="preserve">  □ 15. Egypt composite vs. Econ-only distinction verified in all chapter tables</t>
        </is>
      </c>
    </row>
    <row r="107">
      <c r="B107" s="21" t="inlineStr">
        <is>
          <t xml:space="preserve">  □ 16. Botswana Strategic Reserves cap (10/10 not 18/10) verified in all chapter tables</t>
        </is>
      </c>
    </row>
    <row r="108">
      <c r="B108" s="21" t="inlineStr">
        <is>
          <t xml:space="preserve">  □ 17. Ghana/Zambia trajectory figures labeled as illustrative before submission</t>
        </is>
      </c>
    </row>
    <row r="109">
      <c r="B109" s="21" t="inlineStr">
        <is>
          <t xml:space="preserve">  □ 18. Rwanda Econ/Pol split (57/76.9) verified across Ch.6, Ch.7, Ch.10</t>
        </is>
      </c>
    </row>
    <row r="110">
      <c r="B110" s="21" t="inlineStr">
        <is>
          <t xml:space="preserve">  □ 19. Ch.6 Dimension Gap "15-pt balanced" corrected to Ch.5 canonical 10-pt threshold</t>
        </is>
      </c>
    </row>
    <row r="111">
      <c r="B111" s="21" t="inlineStr">
        <is>
          <t xml:space="preserve">  □ 20. Senior reviewer sign-off before public or university release</t>
        </is>
      </c>
    </row>
    <row r="112">
      <c r="B112" s="20" t="inlineStr"/>
    </row>
    <row r="113">
      <c r="B113" s="20" t="inlineStr">
        <is>
          <t>APPENDIX D: v4 ADDITIONS — AFROCENTRIC CALIBRATION</t>
        </is>
      </c>
    </row>
    <row r="114">
      <c r="B114" s="19" t="inlineStr">
        <is>
          <t>D.1 NORMATIVE REFERENCE FRAMEWORK</t>
        </is>
      </c>
    </row>
    <row r="115">
      <c r="B115" s="20" t="inlineStr">
        <is>
          <t xml:space="preserve">  The AAI is calibrated against AU Agenda 2063 milestones, NOT OECD or World Bank development norms.</t>
        </is>
      </c>
    </row>
    <row r="116">
      <c r="B116" s="20" t="inlineStr">
        <is>
          <t xml:space="preserve">  Phase 4 (Continental Leadership) = Nkrumah's "political kingdom" made quantitatively measurable.</t>
        </is>
      </c>
    </row>
    <row r="117">
      <c r="B117" s="20" t="inlineStr">
        <is>
          <t xml:space="preserve">  Phase system in quantitative form = Amin's delinking theory (self-reliance as development strategy).</t>
        </is>
      </c>
    </row>
    <row r="118">
      <c r="B118" s="20" t="inlineStr">
        <is>
          <t xml:space="preserve">  Manufacturing gap (18%→12% MVA/GDP) = Rodney's underdevelopment-as-produced thesis in data.</t>
        </is>
      </c>
    </row>
    <row r="119">
      <c r="B119" s="20" t="inlineStr"/>
    </row>
    <row r="120">
      <c r="B120" s="19" t="inlineStr">
        <is>
          <t>D.2 CFA FRANC ZONE — FLAG M</t>
        </is>
      </c>
    </row>
    <row r="121">
      <c r="B121" s="20" t="inlineStr">
        <is>
          <t xml:space="preserve">  14 countries carry Flag M: Benin, Burkina Faso, Cameroon, CAR, Chad, Congo, Côte d'Ivoire,</t>
        </is>
      </c>
    </row>
    <row r="122">
      <c r="B122" s="20" t="inlineStr">
        <is>
          <t xml:space="preserve">  Equatorial Guinea, Gabon, Guinea-Bissau, Mali, Niger, Senegal, Togo.</t>
        </is>
      </c>
    </row>
    <row r="123">
      <c r="B123" s="20" t="inlineStr">
        <is>
          <t xml:space="preserve">  Flag M = transparency notation ONLY. No score penalty applied in v1.</t>
        </is>
      </c>
    </row>
    <row r="124">
      <c r="B124" s="20" t="inlineStr">
        <is>
          <t xml:space="preserve">  CFA architectural constraint (Article 50 operations account; ~EUR 650M annual French Treasury profit</t>
        </is>
      </c>
    </row>
    <row r="125">
      <c r="B125" s="20" t="inlineStr">
        <is>
          <t xml:space="preserve">  per Pigeaud &amp; Sylla, 2021) is documented as a structural constraint on monetary autonomy.</t>
        </is>
      </c>
    </row>
    <row r="126">
      <c r="B126" s="20" t="inlineStr">
        <is>
          <t xml:space="preserve">  CFA exit is tracked as an AU Agenda 2063 Monetary Union pathway milestone (v2.0 roadmap target).</t>
        </is>
      </c>
    </row>
    <row r="127">
      <c r="B127" s="20" t="inlineStr"/>
    </row>
    <row r="128">
      <c r="B128" s="20" t="inlineStr">
        <is>
          <t>D.3 1-AES BLOC — SOVEREIGNTY PARADOX (Ch.1 §1.1.6)</t>
        </is>
      </c>
    </row>
    <row r="129">
      <c r="B129" s="20" t="inlineStr">
        <is>
          <t xml:space="preserve">  Mali, Burkina Faso, Niger form the Alliance des États du Sahel. Military governance asserts African</t>
        </is>
      </c>
    </row>
    <row r="130">
      <c r="B130" s="20" t="inlineStr">
        <is>
          <t xml:space="preserve">  sovereignty (ECOWAS rejection, French base expulsion) while scoring Phase 1–2 on AAI metrics.</t>
        </is>
      </c>
    </row>
    <row r="131">
      <c r="B131" s="20" t="inlineStr">
        <is>
          <t xml:space="preserve">  Sovereignty Paradox: structural autonomy (AAI score) ≠ political assertion of sovereignty.</t>
        </is>
      </c>
    </row>
    <row r="132">
      <c r="B132" s="20" t="inlineStr">
        <is>
          <t xml:space="preserve">  Both are real; neither cancels the other. 0.97× penalty applied (Flag 1).</t>
        </is>
      </c>
    </row>
    <row r="133">
      <c r="B133" s="20" t="inlineStr"/>
    </row>
    <row r="134">
      <c r="B134" s="19" t="inlineStr">
        <is>
          <t>D.4 AUTONOMY FINANCING FACILITY (AFF)</t>
        </is>
      </c>
    </row>
    <row r="135">
      <c r="B135" s="20" t="inlineStr">
        <is>
          <t xml:space="preserve">  Ch.10 §10.4.1 proposes a 90% African-financed continental development instrument.</t>
        </is>
      </c>
    </row>
    <row r="136">
      <c r="B136" s="20" t="inlineStr">
        <is>
          <t xml:space="preserve">  Theoretical grounding: Amin financial delinking — structural inversion of aid dependency.</t>
        </is>
      </c>
    </row>
    <row r="137">
      <c r="B137" s="20" t="inlineStr">
        <is>
          <t xml:space="preserve">  AFF is a v2.0 (2030) roadmap target; does NOT affect current Workbook scores.</t>
        </is>
      </c>
    </row>
    <row r="138">
      <c r="B138" s="20" t="inlineStr">
        <is>
          <t xml:space="preserve">  When operationalised, AFF participation will contribute to Monetary &amp; Fiscal Autonomy pillar.</t>
        </is>
      </c>
    </row>
    <row r="139">
      <c r="B139" s="20" t="inlineStr"/>
    </row>
    <row r="140">
      <c r="B140" s="20" t="inlineStr">
        <is>
          <t>D.5 AAI AS WEAPON OF THEORY (Ch.10 §10.7.1)</t>
        </is>
      </c>
    </row>
    <row r="141">
      <c r="B141" s="20" t="inlineStr">
        <is>
          <t xml:space="preserve">  Cabral (1966 Havana Tricontinental): theory is a weapon of liberation when it serves</t>
        </is>
      </c>
    </row>
    <row r="142">
      <c r="B142" s="20" t="inlineStr">
        <is>
          <t xml:space="preserve">  the people who need it. The AAI applies this principle — measurement as decolonisation practice.</t>
        </is>
      </c>
    </row>
    <row r="143">
      <c r="B143" s="20" t="inlineStr">
        <is>
          <t xml:space="preserve">  Diop's IFAN Radiocarbon Lab model: 65-year data continuity as the task definition for the AAI.</t>
        </is>
      </c>
    </row>
    <row r="144">
      <c r="B144" s="20" t="inlineStr">
        <is>
          <t xml:space="preserve">  The Reference Source Matrix (94 CI items / 27 KLs) is the institutional memory of this project.</t>
        </is>
      </c>
    </row>
    <row r="145">
      <c r="B145" s="20" t="inlineStr"/>
    </row>
    <row r="146">
      <c r="B146" s="19" t="inlineStr">
        <is>
          <t>APPENDIX E: UPDATED PRE-PUBLICATION CHECKLIST ITEMS 21–24</t>
        </is>
      </c>
    </row>
    <row r="147">
      <c r="B147" s="21" t="inlineStr">
        <is>
          <t xml:space="preserve">  □ 21. CFA zone 14 countries carry [Flag M — CFA] notation in Baseline Scores sheet</t>
        </is>
      </c>
    </row>
    <row r="148">
      <c r="B148" s="21" t="inlineStr">
        <is>
          <t xml:space="preserve">  □ 22. [1-AES] flag replaces [AU SUSPENSION]; Sovereignty Paradox disclosed for Mali/BFA/Niger</t>
        </is>
      </c>
    </row>
    <row r="149">
      <c r="B149" s="21" t="inlineStr">
        <is>
          <t xml:space="preserve">  □ 23. Autonomy Financing Facility framing consistent with Ch.10 §10.4.1 in all forward-looking text</t>
        </is>
      </c>
    </row>
    <row r="150">
      <c r="B150" s="21" t="inlineStr">
        <is>
          <t xml:space="preserve">  □ 24. Afrocentric intellectual genealogy (CI-088) referenced in country profile narratives where relevant</t>
        </is>
      </c>
    </row>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c r="B182" s="28" t="inlineStr">
        <is>
          <t>APPENDIX F: UPDATED PRE-PUBLICATION CHECKLIST ITEMS 25-27 (v5)</t>
        </is>
      </c>
    </row>
    <row r="183">
      <c r="B183" s="24" t="inlineStr">
        <is>
          <t xml:space="preserve">  □ 25. Axis codification confirmed throughout: X = Economic Sovereignty (ECON), Y = Political Integration (POL) for ALL scatter plots. Chapter 4 Autonomy Landscape chart (Version 52) uses this axis standard.</t>
        </is>
      </c>
    </row>
    <row r="184">
      <c r="B184" s="24" t="inlineStr">
        <is>
          <t xml:space="preserve">  □ 26. SADR/Western Sahara added as 55th AU member state (row 56, Baseline Scores). Flag 3/Provisional. Scores pending comprehensive data access. ISO3: ESH. AU membership tracked per continental engagement mandate.</t>
        </is>
      </c>
    </row>
    <row r="185">
      <c r="B185" s="24" t="inlineStr">
        <is>
          <t xml:space="preserve">  □ 27. Niger score correction applied (v5). Old: Econ 36.3, Pol 38.1, Comp 34.3. Verified: Econ 35.0, Pol 23.6, Pre-flag SAS 29.3, Flag 1-AES composite 28.4 (Phase 1). Dimension Gap 11.4 pts (Watch). SAS Risk Label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2026-04-17T20:41:35Z</dcterms:created>
  <dcterms:modified xmlns:dcterms="http://purl.org/dc/terms/" xmlns:xsi="http://www.w3.org/2001/XMLSchema-instance" xsi:type="dcterms:W3CDTF">2026-05-26T20:08:28Z</dcterms:modified>
</cp:coreProperties>
</file>